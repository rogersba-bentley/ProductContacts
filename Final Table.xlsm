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ProductContacts\"/>
    </mc:Choice>
  </mc:AlternateContent>
  <bookViews>
    <workbookView xWindow="0" yWindow="0" windowWidth="27795" windowHeight="12495" activeTab="5"/>
  </bookViews>
  <sheets>
    <sheet name="Master Table" sheetId="1" r:id="rId1"/>
    <sheet name="North America" sheetId="2" r:id="rId2"/>
    <sheet name="Products" sheetId="4" r:id="rId3"/>
    <sheet name="Region" sheetId="5" r:id="rId4"/>
    <sheet name="Contacts" sheetId="3" r:id="rId5"/>
    <sheet name="Assignment" sheetId="6" r:id="rId6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6" l="1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L3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BL12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BL13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BL16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BL19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2" i="6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" i="5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C2" i="4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C41" i="3"/>
  <c r="C2" i="3"/>
</calcChain>
</file>

<file path=xl/sharedStrings.xml><?xml version="1.0" encoding="utf-8"?>
<sst xmlns="http://schemas.openxmlformats.org/spreadsheetml/2006/main" count="2616" uniqueCount="377">
  <si>
    <t>STAAD</t>
  </si>
  <si>
    <t>RAM</t>
  </si>
  <si>
    <t>AUTOPIPE</t>
  </si>
  <si>
    <t>SACS</t>
  </si>
  <si>
    <t>MAXSURF</t>
  </si>
  <si>
    <t>MOSES</t>
  </si>
  <si>
    <t>RM</t>
  </si>
  <si>
    <t>LEAP</t>
  </si>
  <si>
    <t>OBM</t>
  </si>
  <si>
    <t>LARS</t>
  </si>
  <si>
    <t>SITEOPS</t>
  </si>
  <si>
    <t>NA</t>
  </si>
  <si>
    <t>Sales</t>
  </si>
  <si>
    <t>Product Manager</t>
  </si>
  <si>
    <t>SEAsia</t>
  </si>
  <si>
    <t>EU1</t>
  </si>
  <si>
    <t>India</t>
  </si>
  <si>
    <t>ME</t>
  </si>
  <si>
    <t>UK</t>
  </si>
  <si>
    <t>China</t>
  </si>
  <si>
    <t>Du Ping</t>
  </si>
  <si>
    <t>Korea</t>
  </si>
  <si>
    <t>Japan</t>
  </si>
  <si>
    <t>LA</t>
  </si>
  <si>
    <t> Edgar Garcia</t>
  </si>
  <si>
    <t> Leonardo Serilo **</t>
  </si>
  <si>
    <t>ANZ</t>
  </si>
  <si>
    <t>Channel</t>
  </si>
  <si>
    <t>EU2</t>
  </si>
  <si>
    <t>Africa</t>
  </si>
  <si>
    <t>AECOsim Building Designer</t>
  </si>
  <si>
    <t>speedikon</t>
  </si>
  <si>
    <t>Hevacomp</t>
  </si>
  <si>
    <t>GEOPAK</t>
  </si>
  <si>
    <t>InRoads</t>
  </si>
  <si>
    <t>MX</t>
  </si>
  <si>
    <t>OpenRail</t>
  </si>
  <si>
    <t>OpenRoads</t>
  </si>
  <si>
    <t>ConceptStation</t>
  </si>
  <si>
    <t>gINT</t>
  </si>
  <si>
    <t>AutoPLANT</t>
  </si>
  <si>
    <t>AXSYS</t>
  </si>
  <si>
    <t>OpenPlant</t>
  </si>
  <si>
    <t>PlantSpace</t>
  </si>
  <si>
    <t>MineCycle</t>
  </si>
  <si>
    <t>Plantwise</t>
  </si>
  <si>
    <t>Pointools</t>
  </si>
  <si>
    <t>LumenRT</t>
  </si>
  <si>
    <t>ContextCapture</t>
  </si>
  <si>
    <t>Descartes</t>
  </si>
  <si>
    <t>ProStructures</t>
  </si>
  <si>
    <t>promis*e</t>
  </si>
  <si>
    <t>User Advocate</t>
  </si>
  <si>
    <t>AssetWise</t>
  </si>
  <si>
    <t>AssetWise APM</t>
  </si>
  <si>
    <t>OpenUtilities</t>
  </si>
  <si>
    <t>Map</t>
  </si>
  <si>
    <t>OpenComms</t>
  </si>
  <si>
    <t>Exor</t>
  </si>
  <si>
    <t>Haestad</t>
  </si>
  <si>
    <t>Optram</t>
  </si>
  <si>
    <t>SUPERLOAD</t>
  </si>
  <si>
    <t>Amulet</t>
  </si>
  <si>
    <t>InspectTech</t>
  </si>
  <si>
    <t>Not Assigned</t>
  </si>
  <si>
    <t>Justin Yu</t>
  </si>
  <si>
    <t>ConstructSim Work Package Server</t>
  </si>
  <si>
    <t>ProjectWise Design Integration</t>
  </si>
  <si>
    <t>ProjectWise Issues Resolution</t>
  </si>
  <si>
    <t>ProjectWise Explorer Civil 3D Integration Module</t>
  </si>
  <si>
    <t>ProjectWise Explorer Revit Integration Module</t>
  </si>
  <si>
    <t>ProjectWise Explorer Office Integration Module</t>
  </si>
  <si>
    <t>ProjectWise Edge Mobile</t>
  </si>
  <si>
    <t>ProjectWise WorkSite</t>
  </si>
  <si>
    <t>ProjectWise Edge</t>
  </si>
  <si>
    <t>Navigator CE</t>
  </si>
  <si>
    <t>Completions</t>
  </si>
  <si>
    <t>EADOC UI Upgrade</t>
  </si>
  <si>
    <t>Deliverables Management</t>
  </si>
  <si>
    <t>Bentley Automation Service CONNECT Edition</t>
  </si>
  <si>
    <t>ProjectWise "Field Data Management</t>
  </si>
  <si>
    <t>ProjectWise i-model Composition Server for PDF</t>
  </si>
  <si>
    <t>ProjectWise InterPlot Server and Interplot Organizer</t>
  </si>
  <si>
    <t>ProjectWise i-model Composition Server for i-models</t>
  </si>
  <si>
    <t>ConstructSim Systems Completions</t>
  </si>
  <si>
    <t>Kamil Maslowsky</t>
  </si>
  <si>
    <t>na</t>
  </si>
  <si>
    <t>George Castle George.Castle@bentley.com +12148507553</t>
  </si>
  <si>
    <t>Henry Adams Henry.Adams@bentley.com 16104582984</t>
  </si>
  <si>
    <t>Barbara Day  Barbara.Day@bentley.com +19196097614</t>
  </si>
  <si>
    <t>Carlos Aguera Carlos.Aguera@bentley.com +442078610973</t>
  </si>
  <si>
    <t>Geoff McDonald Geoff.Mcdonald@bentley.com +15043025174</t>
  </si>
  <si>
    <t> Aswin Bandaru Aswin.Bandaru@bentley.com +17137842837</t>
  </si>
  <si>
    <t>Chris Croucher Chris.Croucher@bentley.com +16103214606</t>
  </si>
  <si>
    <t>David McGovern David.McGovern@bentley.com +35314364609</t>
  </si>
  <si>
    <t>Brian Preston Brian.Preston@bentley.com 16103216315</t>
  </si>
  <si>
    <t>Ari Rantasalo Ari.Rantasalo@bentley.com +17134443820</t>
  </si>
  <si>
    <t>Jim Newman Jim.Newman@bentley.com +17044332566</t>
  </si>
  <si>
    <t>Cindy Stephens Cindy.Stephens@bentley.com +1858-410-6851</t>
  </si>
  <si>
    <t>David Crozier David.Crozier@bentley.com +1 (360) 531-0557</t>
  </si>
  <si>
    <t>Linda Oliveira Linda.Oliveira@bentley.com +16104586084</t>
  </si>
  <si>
    <t>Clive Hackforth Clive.Hackforth@bentley.com +442078610933</t>
  </si>
  <si>
    <t xml:space="preserve">Clive Hackforth Clive.Hackforth@bentley.com +442078610933 </t>
  </si>
  <si>
    <t>Duncan Rodger Duncan.Rodger@bentley.com +441349865554</t>
  </si>
  <si>
    <t>Neil Pickin Neil.Pickin@bentley.com +441619731462</t>
  </si>
  <si>
    <t xml:space="preserve">Neil Pickin Neil.Pickin@bentley.com +441619731462 </t>
  </si>
  <si>
    <t>Rick Wagner Rick.Wagner@bentley.com +14122303041</t>
  </si>
  <si>
    <t>Bill McNamara Bill.McNamara@bentley.com +16104587602</t>
  </si>
  <si>
    <t>Fabian Folgar Fabian.Folgar@bentley.com +16104582928 Vince DeFlavia Vince.DeFlavia@bentley.com +16104585184</t>
  </si>
  <si>
    <t>Ian Sevilla     Ian.Sevilla@bentley.com +61894311511</t>
  </si>
  <si>
    <t>Laura Selleck Laura.Selleck@bentley.com +18584106871     Rick Lund Rick.Lund@bentley.com +16103216465</t>
  </si>
  <si>
    <t>Joel Johnson Joel.Johnson@bentley.com +1 (610) 458-2814 Mike Rosh Mike.Rosh@bentley.com +16103216453</t>
  </si>
  <si>
    <t>Ian Sevilla   Ian.Sevilla@bentley.com +61894311511</t>
  </si>
  <si>
    <t>Mary Cay Cousart MaryCay.Cousart@bentley.com +16104582962</t>
  </si>
  <si>
    <t>Marion Powell Marion.Powell@bentley.com +1 256 970 1130</t>
  </si>
  <si>
    <t>Todd Combs Todd.Combs@bentley.com +12569701167</t>
  </si>
  <si>
    <t> Rupesh Kumar Rupesh.Kumar@bentley.com +160379403439</t>
  </si>
  <si>
    <t> Vinay Mysore Vinay.Mysore@bentley.com +91 2066021077</t>
  </si>
  <si>
    <t>Ismail Salim Ismail.Salim@bentley.com +65 66926580</t>
  </si>
  <si>
    <t>Orven Fajardo Orven.Fajardo@bentley.com +6566926591</t>
  </si>
  <si>
    <t>Cheryl Kon Cheryl.Kon@bentley.com +160379403433</t>
  </si>
  <si>
    <t>Junaidi Nor Junaidi.Nor@bentley.com +65 66926574</t>
  </si>
  <si>
    <t>Maylen Yee Maylen.Yee@bentley.com +65 66926589</t>
  </si>
  <si>
    <t>Patrick Wicki Patrick.Wicki@bentley.com +41792040786</t>
  </si>
  <si>
    <t xml:space="preserve">Adam Smith Adam.Smith@bentley.com </t>
  </si>
  <si>
    <t>Vincent Ng Vincent.Ng@bentley.com +60379403432</t>
  </si>
  <si>
    <t>Mark Mazzeo Mark.Mazzeo@bentley.com +14122303034</t>
  </si>
  <si>
    <t>Amol Sonawane Amol.Sonawane@bentley.com +912066021201</t>
  </si>
  <si>
    <t>Badr Ziane Badreddine.Ziane@bentley.com +33155238407</t>
  </si>
  <si>
    <t>Rick Black Rick.Black@bentley.com +442078610924</t>
  </si>
  <si>
    <t>Jaroslaw Sitek Jaroslaw.Sitek@bentley.com +48225040755</t>
  </si>
  <si>
    <t>Craven Naidoo Craven.Naidoo@bentley.com +27112533018</t>
  </si>
  <si>
    <t>Mourad Labguira Mourad.Labguira@bentley.com +442078617872 Thorsten Fillmann Thorsten.Fillmann@bentley.com +35314364615</t>
  </si>
  <si>
    <t>Mourad Labguira Mourad.Labguira@bentley.com +442078617872</t>
  </si>
  <si>
    <t>Erwin Van Meurs Erwin.VanMeurs@bentley.com +35314364602 Mourad Labguira Mourad.Labguira@bentley.com +442078617872 Thorsten Fillmann Thorsten.Fillmann@bentley.com +35314364615</t>
  </si>
  <si>
    <t>David Smith David.Smith@bentley.com +441349865554</t>
  </si>
  <si>
    <t>Darja Kalau darja.kalau@bentley.com +35314363522</t>
  </si>
  <si>
    <t>Justinas Verbickas Justinas.Verbickas@bentley.com +37052503337</t>
  </si>
  <si>
    <t>Rocco Masiello Rocco.Masiello@bentley.com +35314364621</t>
  </si>
  <si>
    <t>Ganesh Deshmukh Ganesh.Deshmukh@bentley.com +912066021245</t>
  </si>
  <si>
    <t>Anupama Tuteja Anupama.Tuteja@bentley.com +91 1149021118</t>
  </si>
  <si>
    <t>Sujeet Srivastava Sujeet.Srivastava@bentley.com +912066021012</t>
  </si>
  <si>
    <t>Litto Kuttikadan Litto.Kuttikadan@bentley.com +912066021188</t>
  </si>
  <si>
    <t>Pankaj Mishra Pankaj.Mishra@bentley.com +912267031250</t>
  </si>
  <si>
    <t>Gaurav Malik Gaurav.Malik@bentley.com +91 1149021128 Suneet Manjavkar Suneet.Manjavkar@bentley.com +911149021148</t>
  </si>
  <si>
    <t> JP Chanard JeanPierre.Chanard@bentley.com +33155238460</t>
  </si>
  <si>
    <t>Kamal Batcha Kamal.Batcha@bentley.com +966138652393</t>
  </si>
  <si>
    <t>George Khoury George.Khoury@bentley.com +96171057172</t>
  </si>
  <si>
    <t>Ian Joyce Ian.Joyce@bentley.com +442476260204</t>
  </si>
  <si>
    <t>Erwin Van Meurs Erwin.VanMeurs@bentley.com +35314364602</t>
  </si>
  <si>
    <t>Richard Whysall Richard.Whysall@bentley.com +442078610925</t>
  </si>
  <si>
    <t>Jawwad Baig Jawwad.Baig@bentley.com +61732704304</t>
  </si>
  <si>
    <t>Fabian Folgar Fabian.Folgar@bentley.com +16104582928</t>
  </si>
  <si>
    <t>Gustavo Marin Gustavo.Marin@bentley.com +584166329440</t>
  </si>
  <si>
    <t>Mike Horsfall Mike.Horsfall@bentley.com 512-934-2519</t>
  </si>
  <si>
    <t>Diego Gimenes Diego.Gimenes@bentley.com +551128232652</t>
  </si>
  <si>
    <t>Muhammad Salheen Muhammad.Salheen@bentley.com +61 7327 04314</t>
  </si>
  <si>
    <t>Michal Lipinski Michal.Lipinski@bentley.com +48225040671</t>
  </si>
  <si>
    <t>Rupesh Kumar Rupesh.Kumar@bentley.com +60379403439</t>
  </si>
  <si>
    <t>Quentin Levey Quentin.Levey@bentley.com +27824532324</t>
  </si>
  <si>
    <t>Henry vanTonder Henry.vanTonder@bentley.com +270112533022</t>
  </si>
  <si>
    <t>Josh Taylor Josh.Taylor@bentley.com 7604313610XT103</t>
  </si>
  <si>
    <t>Pat Couser Pat.Couser@bentley.com</t>
  </si>
  <si>
    <t>Benoit Frederique Benoit.Fredericque@bentley.com</t>
  </si>
  <si>
    <t>Sam Stuart Sam.Stuart@bentley.com</t>
  </si>
  <si>
    <t>Natasha Pieterse Natasha.Pieterse@bentley.com</t>
  </si>
  <si>
    <t>Karl Gullerud  Karl.Gullerud@bentley.com</t>
  </si>
  <si>
    <t> Mike Dattilio Mike.Dattilio@bentley.com</t>
  </si>
  <si>
    <t>Beth Buerger Beth.Buerger@bentley.com +17205283380</t>
  </si>
  <si>
    <t xml:space="preserve">Sanjiv Kapila Sanjiv.Kapila@bentley.com </t>
  </si>
  <si>
    <t>Gregor Strekelj Gregor.Strekelj@bentley.com +4331682153165</t>
  </si>
  <si>
    <t>Xin Luo  Xin.Luo@bentley.com +1954343 9359</t>
  </si>
  <si>
    <t>Dilip Matange Dilip.Matange@bentley.com +19543439338</t>
  </si>
  <si>
    <t>Sri Kanneganti Sri.Kanneganti@bentley.com +19543439325</t>
  </si>
  <si>
    <t>Bill Beyer  Bill.Beyer@bentley.com +18166667568</t>
  </si>
  <si>
    <t>Laura Selleck Laura.Selleck@bentley.com +18584106871 Rick Lund Rick.Lund@bentley.com +16103216465</t>
  </si>
  <si>
    <t>Ian Rosam Ian.Rosam@bentley.com +442078610 313</t>
  </si>
  <si>
    <t>Ian Rosam Ian.Rosam@bentley.com +442078610313</t>
  </si>
  <si>
    <t>Kivanc Karakas Kivanc.Karakas@bentley.com +442078610339</t>
  </si>
  <si>
    <t>Tim Lawrence Tim.Lawrence@bentley.com +1 587315 8588</t>
  </si>
  <si>
    <t>Abbas Ali Abbas.Ali@Bentley.com +16104583160</t>
  </si>
  <si>
    <t>Ed Krkoska Ed.Krkoska@bentley.com +16104582787</t>
  </si>
  <si>
    <t>Tim Lawrence Tim.Lawrence@bentley.com +15873158588</t>
  </si>
  <si>
    <t>Rob Harper Rob.Harper@bentley.com +17137303385</t>
  </si>
  <si>
    <t>Alain Beland Alain.Beland@bentley.com +14188802022</t>
  </si>
  <si>
    <t>Jim Barr Jim.Barr@bentley.com +12567241520</t>
  </si>
  <si>
    <t>Slavica Bozic Slavica.Bozic@bentley.com +1630-233-8281</t>
  </si>
  <si>
    <t>John Zwerlein John.Zwerlein@bentley.com +19252745101</t>
  </si>
  <si>
    <t>David Crozier David.Crozier@bentley.com +1360531-0557</t>
  </si>
  <si>
    <t>Gijsbert Noordam Gijsbert.Noordam@bentley.com +31235560626</t>
  </si>
  <si>
    <t>Jim Lucas Jim.Lucas@bentley.com +15128152007 Ton de Vries Ton.deVries@bentley.com +16104584191</t>
  </si>
  <si>
    <t>Gregg Herrin Gregg.Herrin@bentley.com +16104583188</t>
  </si>
  <si>
    <t>Lon Opp Lon.Opp@bentley.com +12569701127</t>
  </si>
  <si>
    <t>Russell Page Russell.Page@bentley.com +13032210689</t>
  </si>
  <si>
    <t>Mal Sharkey Mal.Sharkey@bentley.com +61396978623</t>
  </si>
  <si>
    <t>Kristen Dietrich Kristen.Dietrich@bentley.com +12038050414</t>
  </si>
  <si>
    <t>Travis Ritter Travis.Ritter@bentley.com   +18138301212   Andrew Smith Andrew.Smith@bentley.com +442078610300</t>
  </si>
  <si>
    <t>Joanna Slowinska Joanna.Slowinska@bentley.com +442078610317</t>
  </si>
  <si>
    <t>Dan Vogen Dan.Vogen@bentley.com +16309816500</t>
  </si>
  <si>
    <t>Jim Scott Jim.Scott@bentley.com +13039670864</t>
  </si>
  <si>
    <t>Richard Ellis Richard.Ellis@bentley.com +6421611832</t>
  </si>
  <si>
    <t>Paolomee Udani Paolomee.Udani@bentley.com +19252745107</t>
  </si>
  <si>
    <t>Paul Johnson Paul.Johnson@bentley.com +16104583191</t>
  </si>
  <si>
    <t>Dana Guthrie Dana.Guthrie@bentley.com +16104582619</t>
  </si>
  <si>
    <t>Ranveer Basra Ranveer.Basra@bentley.com +16104582950</t>
  </si>
  <si>
    <t>Raul Guerrero Raul.Guerrero@bentley.com +17146856467</t>
  </si>
  <si>
    <t>Vickie Hewitt Vickie.Hewitt@bentley.com +16104582722</t>
  </si>
  <si>
    <t>Bill McNamara Bill.McNamara@bentley.com +16104587602 Ranveer Basra Ranveer.Basra@bentley.com +16104582950</t>
  </si>
  <si>
    <t>Joe Granville Joe.Granville@bentley.com +16104582951</t>
  </si>
  <si>
    <t xml:space="preserve"> Paul Johnson Paul.Johnson@bentley.com +16104583191</t>
  </si>
  <si>
    <t>Matt Starke Matt.Starke@bentley.com +15102502118</t>
  </si>
  <si>
    <t>Rimantas Varanavicius imantas.Varanavicius@bentley.com +37052398145</t>
  </si>
  <si>
    <t xml:space="preserve"> Molly Watts Molly.Watts@bentley.com +16104583183</t>
  </si>
  <si>
    <t>Tom Atkinson Tom.Atkinson@bentley.com +15184415194</t>
  </si>
  <si>
    <t>Jo Wright Jo.Wright@bentley.com +12569701111</t>
  </si>
  <si>
    <t>Marion Powell Marion.Powell@bentley.com +12569701130</t>
  </si>
  <si>
    <t>Mike Barkasi Mike.Barkasi@bentley.com +16103216357</t>
  </si>
  <si>
    <t>Pradip Maity Pradip.Maity@bentley.com +6566926576</t>
  </si>
  <si>
    <t> Madhan Elumalai Madhan.Elumalai@bentley.com +6566926578</t>
  </si>
  <si>
    <t>Luke Andrew Luke.Andrew@bentley.com 16103216496   Sudip Goswami Sudipto.Goswami@bentley.com +913340183150</t>
  </si>
  <si>
    <t>Parvinder Jhita Parvinder.Jhita@bentley.com +1 5043025180</t>
  </si>
  <si>
    <t>Georgina Maldonado Georgina.Maldonado@bentley.com +17133608369</t>
  </si>
  <si>
    <t> Diether Wagner Diether.Wagner@bentley.com +4331682153162</t>
  </si>
  <si>
    <t>Xin Luo   Xin.Luo@bentley.com +19543439359</t>
  </si>
  <si>
    <t>Sri Kanneganti Sri.Kanneganti@bentley.com +1954343 9325</t>
  </si>
  <si>
    <t>Bill Beyer    Bill.Beyer@bentley.com +18166667568</t>
  </si>
  <si>
    <t>Ismail Salim Ismail.Salim@bentley.com +6566926580</t>
  </si>
  <si>
    <t>Andy Smith Andy.Smith@bentley.com 7046630319</t>
  </si>
  <si>
    <t>Paul Demetriou Paul.Demetriou@bentley.com +12088879204</t>
  </si>
  <si>
    <t>Jimmy Lau Jimmy.Lau@bentley.com +185228021882</t>
  </si>
  <si>
    <t>Junaidi Nor Junaidi.Nor@bentley.com +6566926574</t>
  </si>
  <si>
    <t>Maylen Yee Maylen.Yee@bentley.com +6566926589</t>
  </si>
  <si>
    <t>Francois Valois Francois.Valois@bentley.com +15817817522</t>
  </si>
  <si>
    <t>Kevin McDonald Kevin.McDonald@bentley.com +12569701123</t>
  </si>
  <si>
    <t>Nicolas Loubier Nicolas.Loubier@bentley.com +15817817567</t>
  </si>
  <si>
    <t>Katie Aguilar Katie.Aguilar@bentley.com +16782341311</t>
  </si>
  <si>
    <t>Adnan Ulhaq Adnan.Ulhaq@bentley.com +92512078422</t>
  </si>
  <si>
    <t>Peter Alspaugh Peter.Alspaugh@bentley.com +18322172816</t>
  </si>
  <si>
    <t>Felix Zhou Felix.Zhou@bentley.com +862122873806</t>
  </si>
  <si>
    <t>Stella Choo Stella.Choo@bentley.com +6566926585</t>
  </si>
  <si>
    <t>Slavica Bozic Slavica.Bozic@bentley.com +16302338281</t>
  </si>
  <si>
    <t>Freek Verhoef Freek.Verhoef@bentley.com +27794964032</t>
  </si>
  <si>
    <t>Engteck Soon Engteck.Soon@bentley.com +61396978647</t>
  </si>
  <si>
    <t>Uma Umakhanthan Uma.Umakhanthan@bentley.com +61396978604</t>
  </si>
  <si>
    <t>Aaron Beazley Aaron.Beazley@bentley.com +12898162642</t>
  </si>
  <si>
    <t>Ton de Vries Ton.deVries@bentley.com +16104584191 Frederick Boersma Frederik.Boersma@bentley.com +31235560624 Jim Lucas Jim.Lucas@bentley.com +15128152007</t>
  </si>
  <si>
    <t>MSV Rao MSV.Rao@bentley.com +919820223761</t>
  </si>
  <si>
    <t>Russell Page Russell.Page@bentley.com +13032210689   Julian Earnshaw Julian.Earnshaw@bentley.com +442078610916</t>
  </si>
  <si>
    <t>Travis Ritter Travis.Ritter@bentley.com     +18138301212  Andrew Smith Andrew.Smith@bentley.com +442078610300</t>
  </si>
  <si>
    <t>Joanna Slowinska  Joanna.Slowinska@bentley.com +442078610317</t>
  </si>
  <si>
    <t>Uma Umakhanthan Uma.Umakhanthan@bentley.com +613 96978604</t>
  </si>
  <si>
    <t>Ben Witter Ben.Witter@bentley.com +12676642491</t>
  </si>
  <si>
    <t>Taylor Gilmore Taylor.Gilmore@bentley.com +14126811521</t>
  </si>
  <si>
    <t>Eric Crivella Eric.Crivella@bentley.com +18322172802</t>
  </si>
  <si>
    <t>David Settlemeyer David.Settlemyer@bentley.com +16103214610</t>
  </si>
  <si>
    <t>Aaron Beazily Aaron.Beazley@bentley.com +12898162642</t>
  </si>
  <si>
    <t xml:space="preserve">Slavco Velichkov Slavco.Velickov@bentley.com </t>
  </si>
  <si>
    <t>Steven Chau steven.chau@bentley.com</t>
  </si>
  <si>
    <t>Luke Andrew Luke.Andrew@bentley.com 16103216496      Sudip Goswami Sudipto.Goswami@bentley.com +913340183150</t>
  </si>
  <si>
    <t>Allen Adams Allen.Adams@bentley.com +17604313610XT113</t>
  </si>
  <si>
    <t>Jenn Metzler Jennifer.Metzler@bentley.com +16104589574</t>
  </si>
  <si>
    <t>Rafael Lara Rafael.Lara@bentley.com +5521994350823</t>
  </si>
  <si>
    <t>Ignacio Almagro Ignacio.Almagro@bentley.com +19543439336</t>
  </si>
  <si>
    <t>Tennyson Maimbo Tennyson.Maimbo@bentley.com</t>
  </si>
  <si>
    <t xml:space="preserve">Wentao Zheng Wentao.Zhang@bentley.com +61288778808 </t>
  </si>
  <si>
    <t>Paul King Paul.King@bentley.com +61288778810</t>
  </si>
  <si>
    <t>Bill McNamara Bill.McNamara@bentley.com +16104587602  Ranveer Basra Ranveer.Basra@bentley.com +16104582950</t>
  </si>
  <si>
    <t>Mark Cranitch Mark.Cranitch@bentley.com +61732704341</t>
  </si>
  <si>
    <t> Phil Senior Phil.Senior@bentley.com +442078610982</t>
  </si>
  <si>
    <t>Steve Brown Steve.Brown@bentley.com +44(0)1142922375</t>
  </si>
  <si>
    <t>Susanne Trierscheid Susanne.Trierscheid@bentley.com +498996243238</t>
  </si>
  <si>
    <t>Mathis Hasle Mathis.Hasle@bentley.com +35314364617 Stefania Rando Stefania.Rando@bentley.com +3531436 3598 Thorsten Fillmann Thorsten.Fillmann@bentley.com +35314364615 Scott Ryan Scott.Ryan@bentley.com +35314363569</t>
  </si>
  <si>
    <t>Kuljinder Gill Kuljinder.Gill@bentley.com +441344742808</t>
  </si>
  <si>
    <t>Eva Cantarero Eva.Cantarero@bentley.com +34913728975</t>
  </si>
  <si>
    <t>Michael Curran Michael.Curran@bentley.com +35314363563</t>
  </si>
  <si>
    <t>Klaus Hatle Klaus.Hatle@bentley.com +4747877075</t>
  </si>
  <si>
    <t>Mathis Hasle Mathis.Hasle@bentley.com +35314364617  Stefania Rando Stefania.Rando@bentley.com +35314363598 Thorsten Fillmann Thorsten.Fillmann@bentley.com +35314364615</t>
  </si>
  <si>
    <t>Gernot Jeromin Gernot.Jeromin@bentley.com +4915116351668</t>
  </si>
  <si>
    <t>Andreas Stolpe Andreas.Stolpe@bentley.com +493343291672</t>
  </si>
  <si>
    <t>Andrew Rhodes Andrew.Rhodes@bentley.com +441784426602</t>
  </si>
  <si>
    <t>Ralph Schopen Ralph.Schopen@bentley.com +491607056921</t>
  </si>
  <si>
    <t>Harrie van Mullekom Harrie.vanMullekom@bentley.com +31235560635</t>
  </si>
  <si>
    <t>Frederick Boersma Frederik.Boersma@bentley.com +31235560624 Ton de Vries Ton.deVries@bentley.com +16104584191</t>
  </si>
  <si>
    <t>Jukka Kivela Jukka.Kivela@bentley.com +358108301229</t>
  </si>
  <si>
    <t>Johannes Klick Johannes.Klick@bentley.com +4962012908161</t>
  </si>
  <si>
    <t>Travis Ritter Travis.Ritter@bentley.com +18138301212  Andrew Smith Andrew.Smith@bentley.com +442078610300</t>
  </si>
  <si>
    <t>Stefan Sigvardsson Stefan.Sigvardsson@bentley.com +46313378732</t>
  </si>
  <si>
    <t>Arturas Zidonis Arturas.Zidonis@bentley.com +37052507277</t>
  </si>
  <si>
    <t>Eric Law Eric.Law@bentley.com +15102502114</t>
  </si>
  <si>
    <t>Arturas Baranauskas Arturas.Baranauskas@bentley.com +37052507280</t>
  </si>
  <si>
    <t>Evert de Jong Evert.deJong@bentley.com +31235560545</t>
  </si>
  <si>
    <t> Dan Choudhury Dan.Choudhury@bentley.com +913340183139</t>
  </si>
  <si>
    <t>Sunil Das Sunil.Das@bentley.com +913340183105</t>
  </si>
  <si>
    <t>Aby Paul Aby.Paul@bentley.com +97143826005</t>
  </si>
  <si>
    <t> Vinay Mysore Vinay.Mysore@bentley.com +912066021077</t>
  </si>
  <si>
    <t>Ali Gondal Ali.Gondal@bentley.com +92512078402 Jagadeesh Thiyagarajan Jagadeesh.Thiyagarajan@bentley.com +914449056607</t>
  </si>
  <si>
    <t>Ali Gondal Ali.Gondal@bentley.com +92512078402 Priyanka Shori Priyanka.Shori@bentley.com +919999915498</t>
  </si>
  <si>
    <t>Anupama Tuteja Anupama.Tuteja@bentley.com +911149021118</t>
  </si>
  <si>
    <t>Hrayr Daghlian Hrayr.Daghlian@bentley.com +97143826014</t>
  </si>
  <si>
    <t>Jagadeesh Thiyagarajan Jagadeesh.Thiyagarajan@bentley.com +914449056607 Priyanka Shori Priyanka.Shori@bentley.com +919999915498 Ali Gondal Ali.Gondal@bentley.com +92512078402</t>
  </si>
  <si>
    <t>Gaurav Malik Gaurav.Malik@bentley.com +911149021128 Suneet Manjavkar Suneet.Manjavkar@bentley.com +911149021148</t>
  </si>
  <si>
    <t xml:space="preserve">Joanna Slowinska  Joanna.Slowinska@bentley.com +442078610317 </t>
  </si>
  <si>
    <t>Ashish Kumar Ashish.Kumar@bentley.com +97143826008</t>
  </si>
  <si>
    <t>Richard Tully Richard.Tully@bentley.com +442078617874</t>
  </si>
  <si>
    <t>Luke Andrew Luke.Andrew@bentley.com 16103216496 Sudip Goswami Sudipto.Goswami@bentley.com +913340183150</t>
  </si>
  <si>
    <t>Phil Senior Phil.Senior@bentley.com +442078610982</t>
  </si>
  <si>
    <t>Parvinder Jhita Parvinder.Jhita@bentley.com +15043025180</t>
  </si>
  <si>
    <t>Jim Barr Jim.Barr@bentley.com +1256 724 1520</t>
  </si>
  <si>
    <t>Manish Singh Manish.Singh@bentley.com +97143826016 Hrayr Daghlian Hrayr.Daghlian@bentley.com +97143826014</t>
  </si>
  <si>
    <t>Mohammed Alqaq Mohammed.Alqaq@bentley.com +96265679300 EXT.106</t>
  </si>
  <si>
    <t>Ahmed Fahmy Ahmed.Fahmy@bentley.com +16103216341</t>
  </si>
  <si>
    <t>Rahul Gurav Rahul.Gurav@bentley.com +97143826022</t>
  </si>
  <si>
    <t>Mostafa Shawkat Mostafa.Shawkat@bentley.com +97143826018 Hrayr Daghlian Hrayr.Daghlian@bentley.com +97143826014</t>
  </si>
  <si>
    <t>Muhanned Shaweesh Muhannad.Shaweesh@bentley.com +96265679300ext112 Henry vanTonder Henry.vanTonder@bentley.com +270112533022</t>
  </si>
  <si>
    <t>Vivek Kale Vivek.Kale@bentley.com +97143826027</t>
  </si>
  <si>
    <t>Manish Singh Manish.Singh@bentley.com +97143826016</t>
  </si>
  <si>
    <t>Jerard Marsh Jerard.Marsh@bentley.com +442078610340</t>
  </si>
  <si>
    <t>Robert Wasson Robert.Wasson@bentley.com +35314363544</t>
  </si>
  <si>
    <t>Mark Lill Mark.Lill@bentley.com +498996243226</t>
  </si>
  <si>
    <t>Scott Ryan Scott.Ryan@bentley.com +35314363569</t>
  </si>
  <si>
    <t>Mark Marnell Mark.Marnell@bentley.com + 44(0)7990577682</t>
  </si>
  <si>
    <t>Darren Guy Darren.Guy@bentley.com +442078610911</t>
  </si>
  <si>
    <t>Russell Page Russell.Page@bentley.com +13032210689  Julian Earnshaw Julian.Earnshaw@bentley.com +442078610916</t>
  </si>
  <si>
    <t>Madhan Elumalai Madhan.Elumalai@bentley.com +6566926578</t>
  </si>
  <si>
    <t>Kevin Meng Kevin.Meng@bentley.com +861059297108</t>
  </si>
  <si>
    <t xml:space="preserve">Benoit Frederique Benoit.Fredericque@bentley.com </t>
  </si>
  <si>
    <t>Georgina Maldonado Georgina.Maldonado@bentley.com + 7133608369</t>
  </si>
  <si>
    <t>Na Li Na.Li@bentley.com +861059297063 Steven Chau steven.chau@bentley.com +6566926584</t>
  </si>
  <si>
    <t>Shunnai Zhao ShunNai.Zhao@bentley.com +861059297039</t>
  </si>
  <si>
    <t>Peimeng Liu Peimeng.Liu@bentley.com +861059297089</t>
  </si>
  <si>
    <t>Chen Chen Chen.Chen@bentley.com +861059297008</t>
  </si>
  <si>
    <t>Xiuxia Wang Xiuxia.Wang@bentley.com +861059297161 Steven Chau steven.chau@bentley.com +6566926584</t>
  </si>
  <si>
    <t>Peng Shan Peng.Shan@bentley.com +861059297012</t>
  </si>
  <si>
    <t>Jia Wen Jia.Wen@bentley.com +861059297010 Steven Chau steven.chau@bentley.com +6566926584</t>
  </si>
  <si>
    <t>Jia Wen Jia.Wen@bentley.com +861059297010</t>
  </si>
  <si>
    <t>Alex Yang Steven alex.yang@bentley.com +861059297013 Chau steven.chau@bentley.com +6566926584</t>
  </si>
  <si>
    <t>Electra Lin Electra.Lin@bentley.com +861082143097 Kaile Wang Kaile.Wang@bentley.com +861059297116</t>
  </si>
  <si>
    <t>Zhiyuan Li Zhiyuan.Li@bentley.com +861059297102</t>
  </si>
  <si>
    <t>Lijun Ma Lijun.Ma@bentley.com +861082143036</t>
  </si>
  <si>
    <t>Peng Du peng.du@bentley.com +861059297003</t>
  </si>
  <si>
    <t>Clark McDonald Clark.McDonald@Bentley.com +17707540771</t>
  </si>
  <si>
    <t> YuJin Lee YuJin.Lee@bentley.com +82234685753</t>
  </si>
  <si>
    <t> Bitna Seo Bitna.Seo@bentley.com +821050364530</t>
  </si>
  <si>
    <t>Stuart Milne Stuart.Milne@bentley.com</t>
  </si>
  <si>
    <t>Sai Selvakumar Sai.Selvakumar@bentley.com +61396978657</t>
  </si>
  <si>
    <t>Raj Dodda Raj.Dodda@bentley.com +61288778805</t>
  </si>
  <si>
    <t>JaYoung You JaYoung.You@bentley.com +82234685754</t>
  </si>
  <si>
    <t>Diego Gimenes Diego.Gimenes@bentley.com +551128232652 Martin Chavez Martin.Chavez@bentley.com + 525554885420 Tiago Sathler Tiago.Sathler@bentley.com +551128232653</t>
  </si>
  <si>
    <t>Rodolfo Guilherme rodolfo.guilherme@bentley.com +551128232678</t>
  </si>
  <si>
    <t>Cesar Puga Cesar.Puga@bentley.com +524422165052</t>
  </si>
  <si>
    <t>Pablo Garrido Pablo.Garrido@bentley.com +551128232679</t>
  </si>
  <si>
    <t>Juan Carlos Gutierrez Juan.Gutierrez@bentley.com + 573143338967 Aline De Souza Aline.DeSouza@bentley.com</t>
  </si>
  <si>
    <t>Sandra Mora Sandra.Mora@bentley.com +610732704344</t>
  </si>
  <si>
    <t xml:space="preserve">Stuart Milne Stuart.Milne@bentley.com </t>
  </si>
  <si>
    <t>Dave Body Dave.Body@bentley.com +61734107661</t>
  </si>
  <si>
    <t>Paul Cusack Paul.Cusack@bentley.com +61288778807</t>
  </si>
  <si>
    <t>Alan Benger Alan.Benger@bentley.com +61411864052</t>
  </si>
  <si>
    <t>Lawrence Yong Lawrence.Yong@bentley.com +61288778803</t>
  </si>
  <si>
    <t xml:space="preserve">Mathis Hasle Mathis.Hasle@bentley.com +35314364617 Stefania Rando Stefania.Rando@bentley.com +35314363598 Thorsten Fillmann Thorsten.Fillmann@bentley.com +35314364615 </t>
  </si>
  <si>
    <t>Mathis Hasle Mathis.Hasle@bentley.com +35314364617 Stefania Rando Stefania.Rando@bentley.com +35314363598 Olga Alexandrova Olga.Alexandrova@bentley.com +74999182615</t>
  </si>
  <si>
    <t>Rick Black Rick.Black@bentley.com +442078610924 Olga Alexandrova Olga.Alexandrova@bentley.com +74999182615</t>
  </si>
  <si>
    <t>Olga Alexandrova Olga.Alexandrova@bentley.com +74999182615 Scott Ryan Scott.Ryan@bentley.com +35314363569 Stefania Rando Stefania.Rando@bentley.com +35314363598</t>
  </si>
  <si>
    <t>Michael Curran Michael.Curran@bentley.com +35314363563 Olga Alexandrova Olga.Alexandrova@bentley.com +74999182615</t>
  </si>
  <si>
    <t>Mourad Labguira Mourad.Labguira@bentley.com +442078617872 Olga Alexandrova Olga.Alexandrova@bentley.com +74999182615</t>
  </si>
  <si>
    <t>Erwin Van Meurs Erwin.VanMeurs@bentley.com +35314364602 Mourad Labguira Mourad.Labguira@bentley.com +442078617872 Olga Alexandrova Olga.Alexandrova@bentley.com +74999182615</t>
  </si>
  <si>
    <t>Hubertus Bergmann hubertus.bergmann@bentley.com +4962012908169</t>
  </si>
  <si>
    <t>Tsholo Nxumalo Tsholo.Nxumalo@bentley.com +27(0)112533012</t>
  </si>
  <si>
    <t>Muhanned Shaweesh Muhannad.Shaweesh@bentley.com +96265679300ext112</t>
  </si>
  <si>
    <t>Rich Scotti Rich.Scotti@bentley.com +1 5856627658</t>
  </si>
  <si>
    <t>Derricke Gray Derricke.Gray@bentley.com +18504433817</t>
  </si>
  <si>
    <t>Lisa Whitson Lisa.Whitson@bentley.com +12569701126</t>
  </si>
  <si>
    <t>Joel Rosenbaum Joel.Rosenbaum@bentley.com +12314218134</t>
  </si>
  <si>
    <t>Karimu Rashad Karimu.Rashad@bentley.com +17146856454</t>
  </si>
  <si>
    <t xml:space="preserve">Bernie Morgan Bernie.Morgan@bentley.com +16104582920   </t>
  </si>
  <si>
    <t xml:space="preserve">Greg Zeller Greg.Zeller@bentley.com +16103216462 </t>
  </si>
  <si>
    <t>Barbara Day Barbara.Day@bentley.com +19196097614</t>
  </si>
  <si>
    <t> Madhan Elumalai Madhan.Elumalai@bentley.com +6566926578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</si>
</sst>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9"/>
      <color rgb="FFFFFFFF"/>
      <name val="Arial Narrow"/>
      <family val="2"/>
    </font>
    <font>
      <sz val="8"/>
      <color rgb="FF002A44"/>
      <name val="Arial Narrow"/>
      <family val="2"/>
    </font>
    <font>
      <b/>
      <sz val="9"/>
      <color rgb="FFFFFFFF"/>
      <name val="Arial Narrow"/>
      <family val="2"/>
    </font>
    <font>
      <sz val="9"/>
      <color theme="8" tint="-0.499984740745262"/>
      <name val="Arial Narrow"/>
      <family val="2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rial Narrow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 Narrow"/>
      <family val="2"/>
    </font>
    <font>
      <b/>
      <sz val="9"/>
      <color theme="0"/>
      <name val="Arial Narrow"/>
      <family val="2"/>
    </font>
    <font>
      <sz val="9"/>
      <color theme="0"/>
      <name val="Arial Narrow"/>
      <family val="2"/>
    </font>
    <font>
      <sz val="8"/>
      <color rgb="FFFF0000"/>
      <name val="Arial Narrow"/>
      <family val="2"/>
    </font>
    <font>
      <sz val="11"/>
      <color rgb="FFFF0000"/>
      <name val="Calibri"/>
      <family val="2"/>
      <scheme val="minor"/>
    </font>
    <font>
      <sz val="9"/>
      <color rgb="FFFF0000"/>
      <name val="Arial Narrow"/>
      <family val="2"/>
    </font>
  </fonts>
  <fills count="2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FAAD6"/>
        <bgColor indexed="64"/>
      </patternFill>
    </fill>
    <fill>
      <patternFill patternType="solid">
        <fgColor rgb="FFDC847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9" fillId="18" borderId="0" applyNumberFormat="0" applyBorder="0" applyAlignment="0" applyProtection="0"/>
  </cellStyleXfs>
  <cellXfs count="89">
    <xf numFmtId="0" fontId="0" fillId="0" borderId="0" xfId="0"/>
    <xf numFmtId="0" fontId="4" fillId="5" borderId="1" xfId="0" applyFont="1" applyFill="1" applyBorder="1" applyAlignment="1">
      <alignment horizontal="center" vertical="center" wrapText="1" readingOrder="1"/>
    </xf>
    <xf numFmtId="0" fontId="4" fillId="10" borderId="1" xfId="0" applyFont="1" applyFill="1" applyBorder="1" applyAlignment="1">
      <alignment horizontal="center" vertical="center" wrapText="1" readingOrder="1"/>
    </xf>
    <xf numFmtId="0" fontId="4" fillId="7" borderId="1" xfId="0" applyFont="1" applyFill="1" applyBorder="1" applyAlignment="1">
      <alignment horizontal="center" vertical="center" wrapText="1" readingOrder="1"/>
    </xf>
    <xf numFmtId="0" fontId="4" fillId="8" borderId="1" xfId="0" applyFont="1" applyFill="1" applyBorder="1" applyAlignment="1">
      <alignment horizontal="center" vertical="center" wrapText="1" readingOrder="1"/>
    </xf>
    <xf numFmtId="0" fontId="4" fillId="11" borderId="1" xfId="0" applyFont="1" applyFill="1" applyBorder="1" applyAlignment="1">
      <alignment horizontal="center" vertical="center" wrapText="1" readingOrder="1"/>
    </xf>
    <xf numFmtId="0" fontId="4" fillId="12" borderId="1" xfId="0" applyFont="1" applyFill="1" applyBorder="1" applyAlignment="1">
      <alignment horizontal="center" vertical="center" wrapText="1" readingOrder="1"/>
    </xf>
    <xf numFmtId="0" fontId="4" fillId="3" borderId="1" xfId="0" applyFont="1" applyFill="1" applyBorder="1" applyAlignment="1">
      <alignment horizontal="center" vertical="center" wrapText="1" readingOrder="1"/>
    </xf>
    <xf numFmtId="0" fontId="4" fillId="13" borderId="1" xfId="0" applyFont="1" applyFill="1" applyBorder="1" applyAlignment="1">
      <alignment horizontal="center" vertical="center" wrapText="1" readingOrder="1"/>
    </xf>
    <xf numFmtId="0" fontId="4" fillId="14" borderId="1" xfId="0" applyFont="1" applyFill="1" applyBorder="1" applyAlignment="1">
      <alignment horizontal="center" vertical="center" wrapText="1" readingOrder="1"/>
    </xf>
    <xf numFmtId="0" fontId="4" fillId="2" borderId="1" xfId="0" applyFont="1" applyFill="1" applyBorder="1" applyAlignment="1">
      <alignment horizontal="center" vertical="center" wrapText="1" readingOrder="1"/>
    </xf>
    <xf numFmtId="0" fontId="4" fillId="4" borderId="1" xfId="0" applyFont="1" applyFill="1" applyBorder="1" applyAlignment="1">
      <alignment horizontal="center" vertical="center" wrapText="1" readingOrder="1"/>
    </xf>
    <xf numFmtId="0" fontId="4" fillId="15" borderId="1" xfId="0" applyFont="1" applyFill="1" applyBorder="1" applyAlignment="1">
      <alignment horizontal="center" vertical="center" wrapText="1" readingOrder="1"/>
    </xf>
    <xf numFmtId="0" fontId="4" fillId="6" borderId="1" xfId="0" applyFont="1" applyFill="1" applyBorder="1" applyAlignment="1">
      <alignment horizontal="center" vertical="center" wrapText="1" readingOrder="1"/>
    </xf>
    <xf numFmtId="0" fontId="0" fillId="5" borderId="1" xfId="0" applyFill="1" applyBorder="1" applyAlignment="1">
      <alignment horizontal="center" vertical="center" wrapText="1" readingOrder="1"/>
    </xf>
    <xf numFmtId="0" fontId="0" fillId="10" borderId="1" xfId="0" applyFill="1" applyBorder="1" applyAlignment="1">
      <alignment horizontal="center" vertical="center" wrapText="1" readingOrder="1"/>
    </xf>
    <xf numFmtId="0" fontId="0" fillId="7" borderId="1" xfId="0" applyFill="1" applyBorder="1" applyAlignment="1">
      <alignment horizontal="center" vertical="center" wrapText="1" readingOrder="1"/>
    </xf>
    <xf numFmtId="0" fontId="0" fillId="8" borderId="1" xfId="0" applyFill="1" applyBorder="1" applyAlignment="1">
      <alignment horizontal="center" vertical="center" wrapText="1" readingOrder="1"/>
    </xf>
    <xf numFmtId="0" fontId="0" fillId="11" borderId="1" xfId="0" applyFill="1" applyBorder="1" applyAlignment="1">
      <alignment horizontal="center" vertical="center" wrapText="1" readingOrder="1"/>
    </xf>
    <xf numFmtId="0" fontId="0" fillId="12" borderId="1" xfId="0" applyFill="1" applyBorder="1" applyAlignment="1">
      <alignment horizontal="center" vertical="center" wrapText="1" readingOrder="1"/>
    </xf>
    <xf numFmtId="0" fontId="0" fillId="3" borderId="1" xfId="0" applyFill="1" applyBorder="1" applyAlignment="1">
      <alignment horizontal="center" vertical="center" wrapText="1" readingOrder="1"/>
    </xf>
    <xf numFmtId="0" fontId="0" fillId="13" borderId="1" xfId="0" applyFill="1" applyBorder="1" applyAlignment="1">
      <alignment horizontal="center" vertical="center" wrapText="1" readingOrder="1"/>
    </xf>
    <xf numFmtId="0" fontId="0" fillId="14" borderId="1" xfId="0" applyFill="1" applyBorder="1" applyAlignment="1">
      <alignment horizontal="center" vertical="center" wrapText="1" readingOrder="1"/>
    </xf>
    <xf numFmtId="0" fontId="0" fillId="2" borderId="1" xfId="0" applyFill="1" applyBorder="1" applyAlignment="1">
      <alignment horizontal="center" vertical="center" wrapText="1" readingOrder="1"/>
    </xf>
    <xf numFmtId="0" fontId="0" fillId="4" borderId="1" xfId="0" applyFill="1" applyBorder="1" applyAlignment="1">
      <alignment horizontal="center" vertical="center" wrapText="1" readingOrder="1"/>
    </xf>
    <xf numFmtId="0" fontId="0" fillId="15" borderId="1" xfId="0" applyFill="1" applyBorder="1" applyAlignment="1">
      <alignment horizontal="center" vertical="center" wrapText="1" readingOrder="1"/>
    </xf>
    <xf numFmtId="0" fontId="0" fillId="6" borderId="1" xfId="0" applyFill="1" applyBorder="1" applyAlignment="1">
      <alignment horizontal="center" vertical="center" wrapText="1" readingOrder="1"/>
    </xf>
    <xf numFmtId="0" fontId="1" fillId="9" borderId="1" xfId="0" applyFont="1" applyFill="1" applyBorder="1" applyAlignment="1">
      <alignment horizontal="center" vertical="center" wrapText="1" readingOrder="1"/>
    </xf>
    <xf numFmtId="0" fontId="3" fillId="9" borderId="1" xfId="0" applyFont="1" applyFill="1" applyBorder="1" applyAlignment="1">
      <alignment horizontal="center" vertical="center" wrapText="1" readingOrder="1"/>
    </xf>
    <xf numFmtId="0" fontId="6" fillId="9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 wrapText="1" readingOrder="1"/>
    </xf>
    <xf numFmtId="0" fontId="13" fillId="9" borderId="1" xfId="2" applyFont="1" applyFill="1" applyBorder="1" applyAlignment="1">
      <alignment horizontal="center" wrapText="1" readingOrder="1"/>
    </xf>
    <xf numFmtId="0" fontId="14" fillId="9" borderId="1" xfId="1" applyFont="1" applyFill="1" applyBorder="1" applyAlignment="1">
      <alignment horizontal="center" vertical="center" wrapText="1" readingOrder="1"/>
    </xf>
    <xf numFmtId="0" fontId="14" fillId="9" borderId="1" xfId="3" applyFont="1" applyFill="1" applyBorder="1" applyAlignment="1">
      <alignment horizontal="center" vertical="center" wrapText="1" readingOrder="1"/>
    </xf>
    <xf numFmtId="0" fontId="14" fillId="9" borderId="1" xfId="0" applyFont="1" applyFill="1" applyBorder="1" applyAlignment="1">
      <alignment horizontal="center" vertical="center" wrapText="1" readingOrder="1"/>
    </xf>
    <xf numFmtId="0" fontId="13" fillId="9" borderId="1" xfId="0" applyFont="1" applyFill="1" applyBorder="1" applyAlignment="1">
      <alignment horizontal="center" vertical="center" wrapText="1" readingOrder="1"/>
    </xf>
    <xf numFmtId="0" fontId="14" fillId="9" borderId="1" xfId="0" applyFont="1" applyFill="1" applyBorder="1" applyAlignment="1">
      <alignment vertical="center" wrapText="1" readingOrder="1"/>
    </xf>
    <xf numFmtId="0" fontId="12" fillId="5" borderId="1" xfId="0" applyFont="1" applyFill="1" applyBorder="1" applyAlignment="1">
      <alignment horizontal="center" vertical="center" wrapText="1" readingOrder="1"/>
    </xf>
    <xf numFmtId="0" fontId="12" fillId="10" borderId="1" xfId="0" applyFont="1" applyFill="1" applyBorder="1" applyAlignment="1">
      <alignment horizontal="center" vertical="center" wrapText="1" readingOrder="1"/>
    </xf>
    <xf numFmtId="0" fontId="12" fillId="7" borderId="1" xfId="0" applyFont="1" applyFill="1" applyBorder="1" applyAlignment="1">
      <alignment horizontal="center" vertical="center" wrapText="1" readingOrder="1"/>
    </xf>
    <xf numFmtId="0" fontId="12" fillId="19" borderId="1" xfId="0" applyFont="1" applyFill="1" applyBorder="1" applyAlignment="1">
      <alignment horizontal="center" vertical="center" wrapText="1" readingOrder="1"/>
    </xf>
    <xf numFmtId="0" fontId="12" fillId="8" borderId="1" xfId="0" applyFont="1" applyFill="1" applyBorder="1" applyAlignment="1">
      <alignment horizontal="center" vertical="center" wrapText="1" readingOrder="1"/>
    </xf>
    <xf numFmtId="0" fontId="12" fillId="11" borderId="1" xfId="0" applyFont="1" applyFill="1" applyBorder="1" applyAlignment="1">
      <alignment horizontal="center" vertical="center" wrapText="1" readingOrder="1"/>
    </xf>
    <xf numFmtId="0" fontId="12" fillId="12" borderId="1" xfId="0" applyFont="1" applyFill="1" applyBorder="1" applyAlignment="1">
      <alignment horizontal="center" vertical="center" wrapText="1" readingOrder="1"/>
    </xf>
    <xf numFmtId="0" fontId="12" fillId="3" borderId="1" xfId="0" applyFont="1" applyFill="1" applyBorder="1" applyAlignment="1">
      <alignment horizontal="center" vertical="center" wrapText="1" readingOrder="1"/>
    </xf>
    <xf numFmtId="0" fontId="12" fillId="13" borderId="1" xfId="0" applyFont="1" applyFill="1" applyBorder="1" applyAlignment="1">
      <alignment horizontal="center" vertical="center" wrapText="1" readingOrder="1"/>
    </xf>
    <xf numFmtId="0" fontId="12" fillId="14" borderId="1" xfId="0" applyFont="1" applyFill="1" applyBorder="1" applyAlignment="1">
      <alignment horizontal="center" vertical="center" wrapText="1" readingOrder="1"/>
    </xf>
    <xf numFmtId="0" fontId="12" fillId="2" borderId="1" xfId="0" applyFont="1" applyFill="1" applyBorder="1" applyAlignment="1">
      <alignment horizontal="center" vertical="center" wrapText="1" readingOrder="1"/>
    </xf>
    <xf numFmtId="0" fontId="12" fillId="4" borderId="1" xfId="0" applyFont="1" applyFill="1" applyBorder="1" applyAlignment="1">
      <alignment horizontal="center" vertical="center" wrapText="1" readingOrder="1"/>
    </xf>
    <xf numFmtId="0" fontId="12" fillId="15" borderId="1" xfId="0" applyFont="1" applyFill="1" applyBorder="1" applyAlignment="1">
      <alignment horizontal="center" vertical="center" wrapText="1" readingOrder="1"/>
    </xf>
    <xf numFmtId="0" fontId="12" fillId="6" borderId="1" xfId="0" applyFont="1" applyFill="1" applyBorder="1" applyAlignment="1">
      <alignment horizontal="center" vertical="center" wrapText="1" readingOrder="1"/>
    </xf>
    <xf numFmtId="0" fontId="8" fillId="6" borderId="1" xfId="0" applyFont="1" applyFill="1" applyBorder="1" applyAlignment="1">
      <alignment horizontal="center" vertical="center" wrapText="1" readingOrder="1"/>
    </xf>
    <xf numFmtId="0" fontId="2" fillId="6" borderId="1" xfId="0" applyFont="1" applyFill="1" applyBorder="1" applyAlignment="1">
      <alignment horizontal="center" vertical="center" wrapText="1" readingOrder="1"/>
    </xf>
    <xf numFmtId="0" fontId="8" fillId="4" borderId="1" xfId="0" applyFont="1" applyFill="1" applyBorder="1" applyAlignment="1">
      <alignment horizontal="center" vertical="center" wrapText="1" readingOrder="1"/>
    </xf>
    <xf numFmtId="0" fontId="2" fillId="4" borderId="1" xfId="0" applyFont="1" applyFill="1" applyBorder="1" applyAlignment="1">
      <alignment horizontal="center" vertical="center" wrapText="1" readingOrder="1"/>
    </xf>
    <xf numFmtId="0" fontId="8" fillId="15" borderId="1" xfId="0" applyFont="1" applyFill="1" applyBorder="1" applyAlignment="1">
      <alignment horizontal="center" vertical="center" wrapText="1" readingOrder="1"/>
    </xf>
    <xf numFmtId="0" fontId="2" fillId="15" borderId="1" xfId="0" applyFont="1" applyFill="1" applyBorder="1" applyAlignment="1">
      <alignment horizontal="center" vertical="center" wrapText="1" readingOrder="1"/>
    </xf>
    <xf numFmtId="0" fontId="8" fillId="2" borderId="1" xfId="0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8" fillId="14" borderId="1" xfId="0" applyFont="1" applyFill="1" applyBorder="1" applyAlignment="1">
      <alignment horizontal="center" vertical="center" wrapText="1" readingOrder="1"/>
    </xf>
    <xf numFmtId="0" fontId="2" fillId="14" borderId="1" xfId="0" applyFont="1" applyFill="1" applyBorder="1" applyAlignment="1">
      <alignment horizontal="center" vertical="center" wrapText="1" readingOrder="1"/>
    </xf>
    <xf numFmtId="0" fontId="8" fillId="13" borderId="1" xfId="0" applyFont="1" applyFill="1" applyBorder="1" applyAlignment="1">
      <alignment horizontal="center" vertical="center" wrapText="1" readingOrder="1"/>
    </xf>
    <xf numFmtId="0" fontId="2" fillId="13" borderId="1" xfId="0" applyFont="1" applyFill="1" applyBorder="1" applyAlignment="1">
      <alignment horizontal="center" vertical="center" wrapText="1" readingOrder="1"/>
    </xf>
    <xf numFmtId="0" fontId="8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8" fillId="12" borderId="1" xfId="0" applyFont="1" applyFill="1" applyBorder="1" applyAlignment="1">
      <alignment horizontal="center" vertical="center" wrapText="1" readingOrder="1"/>
    </xf>
    <xf numFmtId="0" fontId="2" fillId="12" borderId="1" xfId="0" applyFont="1" applyFill="1" applyBorder="1" applyAlignment="1">
      <alignment horizontal="center" vertical="center" wrapText="1" readingOrder="1"/>
    </xf>
    <xf numFmtId="0" fontId="2" fillId="8" borderId="1" xfId="0" applyFont="1" applyFill="1" applyBorder="1" applyAlignment="1">
      <alignment horizontal="center" vertical="center" wrapText="1" readingOrder="1"/>
    </xf>
    <xf numFmtId="0" fontId="8" fillId="11" borderId="1" xfId="0" applyFont="1" applyFill="1" applyBorder="1" applyAlignment="1">
      <alignment horizontal="center" vertical="center" wrapText="1" readingOrder="1"/>
    </xf>
    <xf numFmtId="0" fontId="2" fillId="11" borderId="1" xfId="0" applyFont="1" applyFill="1" applyBorder="1" applyAlignment="1">
      <alignment horizontal="center" vertical="center" wrapText="1" readingOrder="1"/>
    </xf>
    <xf numFmtId="0" fontId="8" fillId="8" borderId="1" xfId="0" applyFont="1" applyFill="1" applyBorder="1" applyAlignment="1">
      <alignment horizontal="center" vertical="center" wrapText="1" readingOrder="1"/>
    </xf>
    <xf numFmtId="0" fontId="2" fillId="10" borderId="1" xfId="0" applyFont="1" applyFill="1" applyBorder="1" applyAlignment="1">
      <alignment horizontal="center" vertical="center" wrapText="1" readingOrder="1"/>
    </xf>
    <xf numFmtId="0" fontId="8" fillId="7" borderId="1" xfId="0" applyFont="1" applyFill="1" applyBorder="1" applyAlignment="1">
      <alignment horizontal="center" vertical="center" wrapText="1" readingOrder="1"/>
    </xf>
    <xf numFmtId="0" fontId="2" fillId="7" borderId="1" xfId="0" applyFont="1" applyFill="1" applyBorder="1" applyAlignment="1">
      <alignment horizontal="center" vertical="center" wrapText="1" readingOrder="1"/>
    </xf>
    <xf numFmtId="0" fontId="8" fillId="10" borderId="1" xfId="0" applyFont="1" applyFill="1" applyBorder="1" applyAlignment="1">
      <alignment horizontal="center" vertical="center" wrapText="1" readingOrder="1"/>
    </xf>
    <xf numFmtId="0" fontId="8" fillId="5" borderId="1" xfId="0" applyFont="1" applyFill="1" applyBorder="1" applyAlignment="1">
      <alignment horizontal="center" vertical="center" wrapText="1" readingOrder="1"/>
    </xf>
    <xf numFmtId="0" fontId="2" fillId="5" borderId="1" xfId="0" applyFont="1" applyFill="1" applyBorder="1" applyAlignment="1">
      <alignment horizontal="center" vertical="center" wrapText="1" readingOrder="1"/>
    </xf>
    <xf numFmtId="0" fontId="4" fillId="0" borderId="1" xfId="0" applyFont="1" applyFill="1" applyBorder="1" applyAlignment="1">
      <alignment horizontal="center" vertical="center" wrapText="1" readingOrder="1"/>
    </xf>
    <xf numFmtId="0" fontId="15" fillId="3" borderId="1" xfId="0" applyFont="1" applyFill="1" applyBorder="1" applyAlignment="1">
      <alignment horizontal="center" vertical="center" wrapText="1" readingOrder="1"/>
    </xf>
    <xf numFmtId="0" fontId="15" fillId="2" borderId="1" xfId="0" applyFont="1" applyFill="1" applyBorder="1" applyAlignment="1">
      <alignment horizontal="center" vertical="center" wrapText="1" readingOrder="1"/>
    </xf>
    <xf numFmtId="0" fontId="15" fillId="4" borderId="1" xfId="0" applyFont="1" applyFill="1" applyBorder="1" applyAlignment="1">
      <alignment horizontal="center" vertical="center" wrapText="1" readingOrder="1"/>
    </xf>
    <xf numFmtId="0" fontId="7" fillId="0" borderId="1" xfId="0" applyFont="1" applyBorder="1" applyAlignment="1">
      <alignment horizontal="center" vertical="center" wrapText="1" readingOrder="1"/>
    </xf>
    <xf numFmtId="0" fontId="17" fillId="3" borderId="1" xfId="0" applyFont="1" applyFill="1" applyBorder="1" applyAlignment="1">
      <alignment horizontal="center" vertical="center" wrapText="1" readingOrder="1"/>
    </xf>
    <xf numFmtId="0" fontId="8" fillId="9" borderId="1" xfId="0" applyFont="1" applyFill="1" applyBorder="1" applyAlignment="1">
      <alignment horizontal="center" vertical="center" wrapText="1" readingOrder="1"/>
    </xf>
    <xf numFmtId="0" fontId="0" fillId="9" borderId="1" xfId="0" applyFill="1" applyBorder="1" applyAlignment="1">
      <alignment horizontal="center" vertical="center" wrapText="1" readingOrder="1"/>
    </xf>
    <xf numFmtId="0" fontId="16" fillId="12" borderId="1" xfId="0" applyFont="1" applyFill="1" applyBorder="1" applyAlignment="1">
      <alignment horizontal="center" vertical="center" wrapText="1" readingOrder="1"/>
    </xf>
    <xf numFmtId="0" fontId="0" fillId="0" borderId="1" xfId="0" applyFill="1" applyBorder="1" applyAlignment="1">
      <alignment horizontal="center" vertical="center" wrapText="1" readingOrder="1"/>
    </xf>
    <xf numFmtId="0" fontId="5" fillId="0" borderId="1" xfId="0" applyFont="1" applyBorder="1" applyAlignment="1">
      <alignment horizontal="center" vertical="center" wrapText="1" readingOrder="1"/>
    </xf>
    <xf numFmtId="0" fontId="13" fillId="9" borderId="1" xfId="2" applyFont="1" applyFill="1" applyBorder="1" applyAlignment="1">
      <alignment horizontal="center" vertical="center" wrapText="1" readingOrder="1"/>
    </xf>
  </cellXfs>
  <cellStyles count="4">
    <cellStyle name="20% - Accent2" xfId="3" builtinId="34"/>
    <cellStyle name="Accent2" xfId="2" builtinId="33"/>
    <cellStyle name="Bad" xfId="1" builtinId="27"/>
    <cellStyle name="Normal" xfId="0" builtinId="0"/>
  </cellStyles>
  <dxfs count="0"/>
  <tableStyles count="0" defaultTableStyle="TableStyleMedium2" defaultPivotStyle="PivotStyleLight16"/>
  <colors>
    <mruColors>
      <color rgb="FFDC8472"/>
      <color rgb="FFCFAAD6"/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M40"/>
  <sheetViews>
    <sheetView topLeftCell="A37" zoomScale="70" zoomScaleNormal="70" workbookViewId="0">
      <pane xSplit="1" topLeftCell="B1" activePane="topRight" state="frozen"/>
      <selection pane="topRight" activeCell="C7" sqref="C7:E7"/>
    </sheetView>
  </sheetViews>
  <sheetFormatPr defaultColWidth="9.140625" defaultRowHeight="73.150000000000006" customHeight="1" x14ac:dyDescent="0.25"/>
  <cols>
    <col min="1" max="1" width="6.85546875" style="81" bestFit="1" customWidth="1"/>
    <col min="2" max="2" width="8.85546875" style="81" bestFit="1" customWidth="1"/>
    <col min="3" max="3" width="32.28515625" style="30" customWidth="1"/>
    <col min="4" max="4" width="31.28515625" style="30" customWidth="1"/>
    <col min="5" max="5" width="32.28515625" style="30" customWidth="1"/>
    <col min="6" max="6" width="25.28515625" style="30" customWidth="1"/>
    <col min="7" max="7" width="24.7109375" style="30" customWidth="1"/>
    <col min="8" max="8" width="26.85546875" style="30" customWidth="1"/>
    <col min="9" max="9" width="26.7109375" style="30" customWidth="1"/>
    <col min="10" max="10" width="23.7109375" style="30" customWidth="1"/>
    <col min="11" max="11" width="24.42578125" style="30" bestFit="1" customWidth="1"/>
    <col min="12" max="12" width="23.5703125" style="30" bestFit="1" customWidth="1"/>
    <col min="13" max="13" width="24.7109375" style="30" customWidth="1"/>
    <col min="14" max="14" width="27.42578125" style="87" customWidth="1"/>
    <col min="15" max="15" width="25.85546875" style="87" customWidth="1"/>
    <col min="16" max="16" width="25.42578125" style="87" customWidth="1"/>
    <col min="17" max="17" width="27.140625" style="87" customWidth="1"/>
    <col min="18" max="18" width="25.7109375" style="87" customWidth="1"/>
    <col min="19" max="19" width="27.28515625" style="87" customWidth="1"/>
    <col min="20" max="20" width="23.140625" style="87" customWidth="1"/>
    <col min="21" max="21" width="28" style="87" customWidth="1"/>
    <col min="22" max="22" width="26.140625" style="87" customWidth="1"/>
    <col min="23" max="23" width="24.85546875" style="87" customWidth="1"/>
    <col min="24" max="24" width="24" style="87" customWidth="1"/>
    <col min="25" max="25" width="23.28515625" style="87" customWidth="1"/>
    <col min="26" max="26" width="23.7109375" style="87" customWidth="1"/>
    <col min="27" max="27" width="23.28515625" style="87" customWidth="1"/>
    <col min="28" max="28" width="22.7109375" style="87" customWidth="1"/>
    <col min="29" max="29" width="24.5703125" style="87" customWidth="1"/>
    <col min="30" max="30" width="25.7109375" style="87" customWidth="1"/>
    <col min="31" max="31" width="28.28515625" style="87" customWidth="1"/>
    <col min="32" max="32" width="27.7109375" style="87" customWidth="1"/>
    <col min="33" max="33" width="26" style="87" customWidth="1"/>
    <col min="34" max="34" width="24.7109375" style="87" customWidth="1"/>
    <col min="35" max="35" width="23.42578125" style="87" bestFit="1" customWidth="1"/>
    <col min="36" max="36" width="29" style="30" customWidth="1"/>
    <col min="37" max="37" width="26.28515625" style="30" customWidth="1"/>
    <col min="38" max="38" width="30" style="30" customWidth="1"/>
    <col min="39" max="39" width="29" style="30" customWidth="1"/>
    <col min="40" max="40" width="30.7109375" style="30" customWidth="1"/>
    <col min="41" max="41" width="28.28515625" style="30" customWidth="1"/>
    <col min="42" max="42" width="32.85546875" style="30" customWidth="1"/>
    <col min="43" max="43" width="25.7109375" style="30" customWidth="1"/>
    <col min="44" max="44" width="23.28515625" style="30" customWidth="1"/>
    <col min="45" max="45" width="30" style="30" customWidth="1"/>
    <col min="46" max="46" width="27.42578125" style="30" customWidth="1"/>
    <col min="47" max="47" width="28.28515625" style="30" customWidth="1"/>
    <col min="48" max="48" width="31.28515625" style="30" customWidth="1"/>
    <col min="49" max="49" width="29.7109375" style="30" customWidth="1"/>
    <col min="50" max="50" width="31.42578125" style="30" customWidth="1"/>
    <col min="51" max="51" width="29.7109375" style="30" customWidth="1"/>
    <col min="52" max="53" width="30" style="30" customWidth="1"/>
    <col min="54" max="55" width="29.85546875" style="30" customWidth="1"/>
    <col min="56" max="56" width="29.28515625" style="30" customWidth="1"/>
    <col min="57" max="57" width="25.42578125" style="30" customWidth="1"/>
    <col min="58" max="58" width="28.7109375" style="30" customWidth="1"/>
    <col min="59" max="59" width="31.7109375" style="30" customWidth="1"/>
    <col min="60" max="60" width="29.5703125" style="30" customWidth="1"/>
    <col min="61" max="61" width="29.85546875" style="30" customWidth="1"/>
    <col min="62" max="62" width="29.5703125" style="30" customWidth="1"/>
    <col min="63" max="63" width="29.7109375" style="30" customWidth="1"/>
    <col min="64" max="64" width="29.5703125" style="30" customWidth="1"/>
    <col min="65" max="65" width="13.42578125" style="30" customWidth="1"/>
    <col min="66" max="16384" width="9.140625" style="30"/>
  </cols>
  <sheetData>
    <row r="1" spans="1:65" s="84" customFormat="1" ht="73.150000000000006" customHeight="1" x14ac:dyDescent="0.25">
      <c r="A1" s="83"/>
      <c r="B1" s="83"/>
      <c r="C1" s="27" t="s">
        <v>0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  <c r="K1" s="27" t="s">
        <v>8</v>
      </c>
      <c r="L1" s="27" t="s">
        <v>9</v>
      </c>
      <c r="M1" s="27" t="s">
        <v>10</v>
      </c>
      <c r="N1" s="27" t="s">
        <v>30</v>
      </c>
      <c r="O1" s="27" t="s">
        <v>31</v>
      </c>
      <c r="P1" s="27" t="s">
        <v>32</v>
      </c>
      <c r="Q1" s="27" t="s">
        <v>33</v>
      </c>
      <c r="R1" s="27" t="s">
        <v>34</v>
      </c>
      <c r="S1" s="27" t="s">
        <v>35</v>
      </c>
      <c r="T1" s="27" t="s">
        <v>36</v>
      </c>
      <c r="U1" s="27" t="s">
        <v>37</v>
      </c>
      <c r="V1" s="27" t="s">
        <v>38</v>
      </c>
      <c r="W1" s="27" t="s">
        <v>39</v>
      </c>
      <c r="X1" s="27" t="s">
        <v>40</v>
      </c>
      <c r="Y1" s="27" t="s">
        <v>41</v>
      </c>
      <c r="Z1" s="27" t="s">
        <v>42</v>
      </c>
      <c r="AA1" s="27" t="s">
        <v>43</v>
      </c>
      <c r="AB1" s="27" t="s">
        <v>44</v>
      </c>
      <c r="AC1" s="27" t="s">
        <v>45</v>
      </c>
      <c r="AD1" s="27" t="s">
        <v>46</v>
      </c>
      <c r="AE1" s="27" t="s">
        <v>47</v>
      </c>
      <c r="AF1" s="27" t="s">
        <v>48</v>
      </c>
      <c r="AG1" s="27" t="s">
        <v>49</v>
      </c>
      <c r="AH1" s="27" t="s">
        <v>50</v>
      </c>
      <c r="AI1" s="27" t="s">
        <v>51</v>
      </c>
      <c r="AJ1" s="27" t="s">
        <v>53</v>
      </c>
      <c r="AK1" s="27" t="s">
        <v>54</v>
      </c>
      <c r="AL1" s="29" t="s">
        <v>55</v>
      </c>
      <c r="AM1" s="29" t="s">
        <v>56</v>
      </c>
      <c r="AN1" s="29" t="s">
        <v>57</v>
      </c>
      <c r="AO1" s="29" t="s">
        <v>58</v>
      </c>
      <c r="AP1" s="29" t="s">
        <v>59</v>
      </c>
      <c r="AQ1" s="29" t="s">
        <v>60</v>
      </c>
      <c r="AR1" s="29" t="s">
        <v>61</v>
      </c>
      <c r="AS1" s="29" t="s">
        <v>62</v>
      </c>
      <c r="AT1" s="29" t="s">
        <v>63</v>
      </c>
      <c r="AU1" s="88" t="s">
        <v>66</v>
      </c>
      <c r="AV1" s="32" t="s">
        <v>67</v>
      </c>
      <c r="AW1" s="33" t="s">
        <v>68</v>
      </c>
      <c r="AX1" s="33" t="s">
        <v>69</v>
      </c>
      <c r="AY1" s="33" t="s">
        <v>70</v>
      </c>
      <c r="AZ1" s="33" t="s">
        <v>71</v>
      </c>
      <c r="BA1" s="33" t="s">
        <v>72</v>
      </c>
      <c r="BB1" s="33" t="s">
        <v>73</v>
      </c>
      <c r="BC1" s="34" t="s">
        <v>74</v>
      </c>
      <c r="BD1" s="35" t="s">
        <v>75</v>
      </c>
      <c r="BE1" s="35" t="s">
        <v>76</v>
      </c>
      <c r="BF1" s="35" t="s">
        <v>77</v>
      </c>
      <c r="BG1" s="34" t="s">
        <v>78</v>
      </c>
      <c r="BH1" s="33" t="s">
        <v>79</v>
      </c>
      <c r="BI1" s="34" t="s">
        <v>80</v>
      </c>
      <c r="BJ1" s="34" t="s">
        <v>81</v>
      </c>
      <c r="BK1" s="34" t="s">
        <v>82</v>
      </c>
      <c r="BL1" s="34" t="s">
        <v>83</v>
      </c>
      <c r="BM1" s="34"/>
    </row>
    <row r="2" spans="1:65" s="14" customFormat="1" ht="187.5" customHeight="1" x14ac:dyDescent="0.25">
      <c r="A2" s="75" t="s">
        <v>11</v>
      </c>
      <c r="B2" s="75" t="s">
        <v>12</v>
      </c>
      <c r="C2" s="76" t="s">
        <v>260</v>
      </c>
      <c r="D2" s="76" t="s">
        <v>260</v>
      </c>
      <c r="E2" s="76" t="s">
        <v>260</v>
      </c>
      <c r="F2" s="76" t="s">
        <v>260</v>
      </c>
      <c r="G2" s="76" t="s">
        <v>260</v>
      </c>
      <c r="H2" s="76" t="s">
        <v>260</v>
      </c>
      <c r="I2" s="76" t="s">
        <v>375</v>
      </c>
      <c r="J2" s="76" t="s">
        <v>375</v>
      </c>
      <c r="K2" s="76" t="s">
        <v>375</v>
      </c>
      <c r="L2" s="76" t="s">
        <v>375</v>
      </c>
      <c r="M2" s="76" t="s">
        <v>375</v>
      </c>
      <c r="N2" s="1" t="s">
        <v>88</v>
      </c>
      <c r="O2" s="1" t="s">
        <v>88</v>
      </c>
      <c r="P2" s="1" t="s">
        <v>88</v>
      </c>
      <c r="Q2" s="1" t="s">
        <v>175</v>
      </c>
      <c r="R2" s="1" t="s">
        <v>373</v>
      </c>
      <c r="S2" s="1" t="s">
        <v>373</v>
      </c>
      <c r="T2" s="1" t="s">
        <v>373</v>
      </c>
      <c r="U2" s="1" t="s">
        <v>373</v>
      </c>
      <c r="V2" s="1" t="s">
        <v>373</v>
      </c>
      <c r="W2" s="1" t="s">
        <v>373</v>
      </c>
      <c r="X2" s="1" t="s">
        <v>95</v>
      </c>
      <c r="Y2" s="1" t="s">
        <v>95</v>
      </c>
      <c r="Z2" s="1" t="s">
        <v>95</v>
      </c>
      <c r="AA2" s="1" t="s">
        <v>95</v>
      </c>
      <c r="AB2" s="1" t="s">
        <v>95</v>
      </c>
      <c r="AC2" s="1" t="s">
        <v>95</v>
      </c>
      <c r="AD2" s="1" t="s">
        <v>374</v>
      </c>
      <c r="AE2" s="1" t="s">
        <v>374</v>
      </c>
      <c r="AF2" s="1" t="s">
        <v>374</v>
      </c>
      <c r="AG2" s="1" t="s">
        <v>374</v>
      </c>
      <c r="AH2" s="1" t="s">
        <v>88</v>
      </c>
      <c r="AI2" s="1" t="s">
        <v>110</v>
      </c>
      <c r="AJ2" s="14" t="s">
        <v>87</v>
      </c>
      <c r="AK2" s="14" t="s">
        <v>87</v>
      </c>
      <c r="AL2" s="14" t="s">
        <v>190</v>
      </c>
      <c r="AN2" s="14" t="s">
        <v>190</v>
      </c>
      <c r="AO2" s="14" t="s">
        <v>322</v>
      </c>
      <c r="AP2" s="14" t="s">
        <v>111</v>
      </c>
      <c r="AQ2" s="14" t="s">
        <v>196</v>
      </c>
      <c r="AR2" s="14" t="s">
        <v>198</v>
      </c>
      <c r="AS2" s="14" t="s">
        <v>87</v>
      </c>
      <c r="AT2" s="14" t="s">
        <v>251</v>
      </c>
      <c r="AU2" s="14" t="s">
        <v>253</v>
      </c>
      <c r="AV2" s="14" t="s">
        <v>213</v>
      </c>
      <c r="AW2" s="14" t="s">
        <v>213</v>
      </c>
      <c r="AX2" s="14" t="s">
        <v>213</v>
      </c>
      <c r="AY2" s="14" t="s">
        <v>213</v>
      </c>
      <c r="AZ2" s="14" t="s">
        <v>213</v>
      </c>
      <c r="BA2" s="14" t="s">
        <v>213</v>
      </c>
      <c r="BB2" s="14" t="s">
        <v>213</v>
      </c>
      <c r="BC2" s="14" t="s">
        <v>213</v>
      </c>
      <c r="BD2" s="14" t="s">
        <v>108</v>
      </c>
      <c r="BE2" s="14" t="s">
        <v>253</v>
      </c>
      <c r="BF2" s="14" t="s">
        <v>113</v>
      </c>
      <c r="BG2" s="14" t="s">
        <v>213</v>
      </c>
      <c r="BH2" s="14" t="s">
        <v>213</v>
      </c>
      <c r="BI2" s="14" t="s">
        <v>213</v>
      </c>
      <c r="BJ2" s="14" t="s">
        <v>213</v>
      </c>
      <c r="BK2" s="14" t="s">
        <v>213</v>
      </c>
      <c r="BL2" s="14" t="s">
        <v>213</v>
      </c>
    </row>
    <row r="3" spans="1:65" s="14" customFormat="1" ht="73.150000000000006" customHeight="1" x14ac:dyDescent="0.25">
      <c r="A3" s="75" t="s">
        <v>11</v>
      </c>
      <c r="B3" s="75" t="s">
        <v>13</v>
      </c>
      <c r="C3" s="76" t="s">
        <v>90</v>
      </c>
      <c r="D3" s="76" t="s">
        <v>161</v>
      </c>
      <c r="E3" s="76" t="s">
        <v>304</v>
      </c>
      <c r="F3" s="76" t="s">
        <v>306</v>
      </c>
      <c r="G3" s="76" t="s">
        <v>162</v>
      </c>
      <c r="H3" s="76" t="s">
        <v>221</v>
      </c>
      <c r="I3" s="76" t="s">
        <v>170</v>
      </c>
      <c r="J3" s="76" t="s">
        <v>171</v>
      </c>
      <c r="K3" s="76" t="s">
        <v>173</v>
      </c>
      <c r="L3" s="76" t="s">
        <v>174</v>
      </c>
      <c r="M3" s="76" t="s">
        <v>254</v>
      </c>
      <c r="N3" s="1" t="s">
        <v>227</v>
      </c>
      <c r="O3" s="1" t="s">
        <v>227</v>
      </c>
      <c r="P3" s="1" t="s">
        <v>228</v>
      </c>
      <c r="Q3" s="1" t="s">
        <v>176</v>
      </c>
      <c r="R3" s="1" t="s">
        <v>177</v>
      </c>
      <c r="S3" s="1" t="s">
        <v>177</v>
      </c>
      <c r="T3" s="1" t="s">
        <v>178</v>
      </c>
      <c r="U3" s="1" t="s">
        <v>176</v>
      </c>
      <c r="V3" s="1" t="s">
        <v>232</v>
      </c>
      <c r="W3" s="1" t="s">
        <v>234</v>
      </c>
      <c r="X3" s="1" t="s">
        <v>236</v>
      </c>
      <c r="Y3" s="1" t="s">
        <v>179</v>
      </c>
      <c r="Z3" s="1" t="s">
        <v>180</v>
      </c>
      <c r="AA3" s="1" t="s">
        <v>183</v>
      </c>
      <c r="AB3" s="1" t="s">
        <v>184</v>
      </c>
      <c r="AC3" s="1" t="s">
        <v>182</v>
      </c>
      <c r="AD3" s="1" t="s">
        <v>163</v>
      </c>
      <c r="AE3" s="1" t="s">
        <v>163</v>
      </c>
      <c r="AF3" s="1" t="s">
        <v>163</v>
      </c>
      <c r="AG3" s="1" t="s">
        <v>163</v>
      </c>
      <c r="AH3" s="1" t="s">
        <v>185</v>
      </c>
      <c r="AI3" s="1" t="s">
        <v>186</v>
      </c>
      <c r="AJ3" s="37" t="s">
        <v>97</v>
      </c>
      <c r="AK3" s="37" t="s">
        <v>244</v>
      </c>
      <c r="AL3" s="14" t="s">
        <v>189</v>
      </c>
      <c r="AM3" s="14" t="s">
        <v>191</v>
      </c>
      <c r="AN3" s="14" t="s">
        <v>189</v>
      </c>
      <c r="AO3" s="37" t="s">
        <v>193</v>
      </c>
      <c r="AP3" s="14" t="s">
        <v>194</v>
      </c>
      <c r="AQ3" s="14" t="s">
        <v>255</v>
      </c>
      <c r="AR3" s="14" t="s">
        <v>199</v>
      </c>
      <c r="AS3" s="14" t="s">
        <v>103</v>
      </c>
      <c r="AT3" s="14" t="s">
        <v>252</v>
      </c>
      <c r="AU3" s="14" t="s">
        <v>201</v>
      </c>
      <c r="AV3" s="14" t="s">
        <v>107</v>
      </c>
      <c r="AW3" s="14" t="s">
        <v>107</v>
      </c>
      <c r="AX3" s="14" t="s">
        <v>107</v>
      </c>
      <c r="AY3" s="14" t="s">
        <v>107</v>
      </c>
      <c r="AZ3" s="14" t="s">
        <v>107</v>
      </c>
      <c r="BA3" s="14" t="s">
        <v>207</v>
      </c>
      <c r="BB3" s="14" t="s">
        <v>207</v>
      </c>
      <c r="BC3" s="14" t="s">
        <v>207</v>
      </c>
      <c r="BD3" s="14" t="s">
        <v>208</v>
      </c>
      <c r="BE3" s="14" t="s">
        <v>168</v>
      </c>
      <c r="BF3" s="14" t="s">
        <v>164</v>
      </c>
      <c r="BG3" s="14" t="s">
        <v>211</v>
      </c>
      <c r="BH3" s="14" t="s">
        <v>214</v>
      </c>
      <c r="BI3" s="14" t="s">
        <v>214</v>
      </c>
      <c r="BJ3" s="14" t="s">
        <v>214</v>
      </c>
      <c r="BK3" s="14" t="s">
        <v>214</v>
      </c>
      <c r="BL3" s="14" t="s">
        <v>214</v>
      </c>
    </row>
    <row r="4" spans="1:65" s="14" customFormat="1" ht="73.150000000000006" customHeight="1" x14ac:dyDescent="0.25">
      <c r="A4" s="75" t="s">
        <v>11</v>
      </c>
      <c r="B4" s="75" t="s">
        <v>52</v>
      </c>
      <c r="C4" s="76" t="s">
        <v>372</v>
      </c>
      <c r="D4" s="76" t="s">
        <v>166</v>
      </c>
      <c r="E4" s="76" t="s">
        <v>167</v>
      </c>
      <c r="F4" s="76" t="s">
        <v>91</v>
      </c>
      <c r="G4" s="76" t="s">
        <v>112</v>
      </c>
      <c r="H4" s="76" t="s">
        <v>92</v>
      </c>
      <c r="I4" s="76" t="s">
        <v>222</v>
      </c>
      <c r="J4" s="76" t="s">
        <v>172</v>
      </c>
      <c r="K4" s="76" t="s">
        <v>172</v>
      </c>
      <c r="L4" s="76" t="s">
        <v>172</v>
      </c>
      <c r="M4" s="76" t="s">
        <v>93</v>
      </c>
      <c r="N4" s="1" t="s">
        <v>371</v>
      </c>
      <c r="O4" s="1" t="s">
        <v>269</v>
      </c>
      <c r="P4" s="1" t="s">
        <v>371</v>
      </c>
      <c r="Q4" s="1" t="s">
        <v>369</v>
      </c>
      <c r="R4" s="1" t="s">
        <v>369</v>
      </c>
      <c r="S4" s="1" t="s">
        <v>369</v>
      </c>
      <c r="T4" s="1" t="s">
        <v>370</v>
      </c>
      <c r="U4" s="1" t="s">
        <v>369</v>
      </c>
      <c r="V4" s="1" t="s">
        <v>233</v>
      </c>
      <c r="W4" s="1" t="s">
        <v>235</v>
      </c>
      <c r="X4" s="1" t="s">
        <v>181</v>
      </c>
      <c r="Y4" s="1" t="s">
        <v>182</v>
      </c>
      <c r="Z4" s="1" t="s">
        <v>368</v>
      </c>
      <c r="AA4" s="1" t="s">
        <v>96</v>
      </c>
      <c r="AB4" s="1" t="s">
        <v>184</v>
      </c>
      <c r="AC4" s="1" t="s">
        <v>237</v>
      </c>
      <c r="AD4" s="1" t="s">
        <v>216</v>
      </c>
      <c r="AE4" s="1" t="s">
        <v>216</v>
      </c>
      <c r="AF4" s="1" t="s">
        <v>216</v>
      </c>
      <c r="AG4" s="1" t="s">
        <v>216</v>
      </c>
      <c r="AH4" s="1" t="s">
        <v>185</v>
      </c>
      <c r="AI4" s="1" t="s">
        <v>187</v>
      </c>
      <c r="AJ4" s="37" t="s">
        <v>98</v>
      </c>
      <c r="AK4" s="37" t="s">
        <v>188</v>
      </c>
      <c r="AL4" s="37" t="s">
        <v>100</v>
      </c>
      <c r="AM4" s="37" t="s">
        <v>100</v>
      </c>
      <c r="AN4" s="37" t="s">
        <v>192</v>
      </c>
      <c r="AO4" s="37" t="s">
        <v>101</v>
      </c>
      <c r="AP4" s="37" t="s">
        <v>195</v>
      </c>
      <c r="AQ4" s="37" t="s">
        <v>197</v>
      </c>
      <c r="AR4" s="37" t="s">
        <v>200</v>
      </c>
      <c r="AS4" s="37" t="s">
        <v>104</v>
      </c>
      <c r="AT4" s="37" t="s">
        <v>106</v>
      </c>
      <c r="AU4" s="14" t="s">
        <v>202</v>
      </c>
      <c r="AV4" s="14" t="s">
        <v>203</v>
      </c>
      <c r="AW4" s="14" t="s">
        <v>204</v>
      </c>
      <c r="AX4" s="14" t="s">
        <v>205</v>
      </c>
      <c r="AY4" s="14" t="s">
        <v>205</v>
      </c>
      <c r="AZ4" s="14" t="s">
        <v>206</v>
      </c>
      <c r="BA4" s="14" t="s">
        <v>204</v>
      </c>
      <c r="BB4" s="14" t="s">
        <v>204</v>
      </c>
      <c r="BC4" s="14" t="s">
        <v>204</v>
      </c>
      <c r="BD4" s="14" t="s">
        <v>209</v>
      </c>
      <c r="BE4" s="14" t="s">
        <v>209</v>
      </c>
      <c r="BF4" s="14" t="s">
        <v>210</v>
      </c>
      <c r="BG4" s="14" t="s">
        <v>212</v>
      </c>
      <c r="BH4" s="14" t="s">
        <v>204</v>
      </c>
      <c r="BI4" s="14" t="s">
        <v>204</v>
      </c>
      <c r="BJ4" s="14" t="s">
        <v>215</v>
      </c>
      <c r="BK4" s="14" t="s">
        <v>115</v>
      </c>
      <c r="BL4" s="14" t="s">
        <v>115</v>
      </c>
    </row>
    <row r="5" spans="1:65" s="15" customFormat="1" ht="102" customHeight="1" x14ac:dyDescent="0.25">
      <c r="A5" s="74" t="s">
        <v>14</v>
      </c>
      <c r="B5" s="74" t="s">
        <v>12</v>
      </c>
      <c r="C5" s="71" t="s">
        <v>217</v>
      </c>
      <c r="D5" s="71" t="s">
        <v>217</v>
      </c>
      <c r="E5" s="71" t="s">
        <v>217</v>
      </c>
      <c r="F5" s="71" t="s">
        <v>217</v>
      </c>
      <c r="G5" s="71" t="s">
        <v>217</v>
      </c>
      <c r="H5" s="71" t="s">
        <v>217</v>
      </c>
      <c r="I5" s="71" t="s">
        <v>89</v>
      </c>
      <c r="J5" s="71" t="s">
        <v>89</v>
      </c>
      <c r="K5" s="71" t="s">
        <v>89</v>
      </c>
      <c r="L5" s="71" t="s">
        <v>89</v>
      </c>
      <c r="M5" s="71" t="s">
        <v>89</v>
      </c>
      <c r="N5" s="2" t="s">
        <v>226</v>
      </c>
      <c r="O5" s="2" t="s">
        <v>226</v>
      </c>
      <c r="P5" s="2" t="s">
        <v>118</v>
      </c>
      <c r="Q5" s="2" t="s">
        <v>120</v>
      </c>
      <c r="R5" s="2" t="s">
        <v>230</v>
      </c>
      <c r="S5" s="2" t="s">
        <v>230</v>
      </c>
      <c r="T5" s="2" t="s">
        <v>230</v>
      </c>
      <c r="U5" s="2" t="s">
        <v>230</v>
      </c>
      <c r="V5" s="2" t="s">
        <v>230</v>
      </c>
      <c r="W5" s="2" t="s">
        <v>121</v>
      </c>
      <c r="X5" s="2" t="s">
        <v>120</v>
      </c>
      <c r="Y5" s="2" t="s">
        <v>120</v>
      </c>
      <c r="Z5" s="2" t="s">
        <v>120</v>
      </c>
      <c r="AA5" s="2" t="s">
        <v>120</v>
      </c>
      <c r="AB5" s="2" t="s">
        <v>120</v>
      </c>
      <c r="AC5" s="2" t="s">
        <v>120</v>
      </c>
      <c r="AD5" s="2" t="s">
        <v>230</v>
      </c>
      <c r="AE5" s="2" t="s">
        <v>239</v>
      </c>
      <c r="AF5" s="2" t="s">
        <v>230</v>
      </c>
      <c r="AG5" s="2" t="s">
        <v>230</v>
      </c>
      <c r="AH5" s="2" t="s">
        <v>226</v>
      </c>
      <c r="AI5" s="2" t="s">
        <v>120</v>
      </c>
      <c r="AJ5" s="15" t="s">
        <v>241</v>
      </c>
      <c r="AK5" s="15" t="s">
        <v>243</v>
      </c>
      <c r="AL5" s="15" t="s">
        <v>245</v>
      </c>
      <c r="AM5" s="15" t="s">
        <v>125</v>
      </c>
      <c r="AN5" s="15" t="s">
        <v>245</v>
      </c>
      <c r="AO5" s="15" t="s">
        <v>247</v>
      </c>
      <c r="AP5" s="15" t="s">
        <v>125</v>
      </c>
      <c r="AQ5" s="15" t="s">
        <v>248</v>
      </c>
      <c r="AR5" s="15" t="s">
        <v>198</v>
      </c>
      <c r="AS5" s="15" t="s">
        <v>250</v>
      </c>
      <c r="AT5" s="15" t="s">
        <v>251</v>
      </c>
      <c r="AU5" s="15" t="s">
        <v>253</v>
      </c>
      <c r="AV5" s="15" t="s">
        <v>265</v>
      </c>
      <c r="AW5" s="15" t="s">
        <v>265</v>
      </c>
      <c r="AX5" s="15" t="s">
        <v>265</v>
      </c>
      <c r="AY5" s="15" t="s">
        <v>265</v>
      </c>
      <c r="AZ5" s="15" t="s">
        <v>265</v>
      </c>
      <c r="BA5" s="15" t="s">
        <v>265</v>
      </c>
      <c r="BB5" s="15" t="s">
        <v>265</v>
      </c>
      <c r="BC5" s="15" t="s">
        <v>265</v>
      </c>
      <c r="BD5" s="15" t="s">
        <v>217</v>
      </c>
      <c r="BE5" s="15" t="s">
        <v>253</v>
      </c>
      <c r="BF5" s="15" t="s">
        <v>267</v>
      </c>
      <c r="BG5" s="15" t="s">
        <v>265</v>
      </c>
      <c r="BH5" s="15" t="s">
        <v>265</v>
      </c>
      <c r="BI5" s="15" t="s">
        <v>265</v>
      </c>
      <c r="BJ5" s="15" t="s">
        <v>265</v>
      </c>
      <c r="BK5" s="15" t="s">
        <v>265</v>
      </c>
      <c r="BL5" s="15" t="s">
        <v>265</v>
      </c>
    </row>
    <row r="6" spans="1:65" s="15" customFormat="1" ht="73.150000000000006" customHeight="1" x14ac:dyDescent="0.25">
      <c r="A6" s="74" t="s">
        <v>14</v>
      </c>
      <c r="B6" s="74" t="s">
        <v>13</v>
      </c>
      <c r="C6" s="71" t="s">
        <v>90</v>
      </c>
      <c r="D6" s="71" t="s">
        <v>161</v>
      </c>
      <c r="E6" s="71" t="s">
        <v>219</v>
      </c>
      <c r="F6" s="71" t="s">
        <v>220</v>
      </c>
      <c r="G6" s="71" t="s">
        <v>162</v>
      </c>
      <c r="H6" s="71" t="s">
        <v>221</v>
      </c>
      <c r="I6" s="71" t="s">
        <v>170</v>
      </c>
      <c r="J6" s="71" t="s">
        <v>223</v>
      </c>
      <c r="K6" s="71" t="s">
        <v>224</v>
      </c>
      <c r="L6" s="71" t="s">
        <v>225</v>
      </c>
      <c r="M6" s="71" t="s">
        <v>254</v>
      </c>
      <c r="N6" s="2" t="s">
        <v>227</v>
      </c>
      <c r="O6" s="2" t="s">
        <v>227</v>
      </c>
      <c r="P6" s="2" t="s">
        <v>228</v>
      </c>
      <c r="Q6" s="2" t="s">
        <v>176</v>
      </c>
      <c r="R6" s="2" t="s">
        <v>176</v>
      </c>
      <c r="S6" s="2" t="s">
        <v>177</v>
      </c>
      <c r="T6" s="2" t="s">
        <v>178</v>
      </c>
      <c r="U6" s="2" t="s">
        <v>176</v>
      </c>
      <c r="V6" s="2" t="s">
        <v>232</v>
      </c>
      <c r="W6" s="2" t="s">
        <v>234</v>
      </c>
      <c r="X6" s="2" t="s">
        <v>236</v>
      </c>
      <c r="Y6" s="2" t="s">
        <v>182</v>
      </c>
      <c r="Z6" s="2" t="s">
        <v>180</v>
      </c>
      <c r="AA6" s="2" t="s">
        <v>183</v>
      </c>
      <c r="AB6" s="2" t="s">
        <v>184</v>
      </c>
      <c r="AC6" s="2" t="s">
        <v>182</v>
      </c>
      <c r="AD6" s="2" t="s">
        <v>163</v>
      </c>
      <c r="AE6" s="2" t="s">
        <v>163</v>
      </c>
      <c r="AF6" s="2" t="s">
        <v>163</v>
      </c>
      <c r="AG6" s="2" t="s">
        <v>163</v>
      </c>
      <c r="AH6" s="2" t="s">
        <v>185</v>
      </c>
      <c r="AI6" s="2" t="s">
        <v>240</v>
      </c>
      <c r="AJ6" s="15" t="s">
        <v>97</v>
      </c>
      <c r="AK6" s="15" t="s">
        <v>244</v>
      </c>
      <c r="AL6" s="15" t="s">
        <v>189</v>
      </c>
      <c r="AM6" s="15" t="s">
        <v>191</v>
      </c>
      <c r="AN6" s="15" t="s">
        <v>189</v>
      </c>
      <c r="AO6" s="15" t="s">
        <v>193</v>
      </c>
      <c r="AP6" s="15" t="s">
        <v>194</v>
      </c>
      <c r="AQ6" s="15" t="s">
        <v>255</v>
      </c>
      <c r="AR6" s="15" t="s">
        <v>199</v>
      </c>
      <c r="AS6" s="15" t="s">
        <v>103</v>
      </c>
      <c r="AT6" s="15" t="s">
        <v>252</v>
      </c>
      <c r="AU6" s="15" t="s">
        <v>201</v>
      </c>
      <c r="AV6" s="15" t="s">
        <v>107</v>
      </c>
      <c r="AW6" s="15" t="s">
        <v>107</v>
      </c>
      <c r="AX6" s="15" t="s">
        <v>107</v>
      </c>
      <c r="AY6" s="15" t="s">
        <v>107</v>
      </c>
      <c r="AZ6" s="15" t="s">
        <v>107</v>
      </c>
      <c r="BA6" s="15" t="s">
        <v>266</v>
      </c>
      <c r="BB6" s="15" t="s">
        <v>266</v>
      </c>
      <c r="BC6" s="15" t="s">
        <v>266</v>
      </c>
      <c r="BD6" s="15" t="s">
        <v>208</v>
      </c>
      <c r="BE6" s="15" t="s">
        <v>168</v>
      </c>
      <c r="BF6" s="15" t="s">
        <v>164</v>
      </c>
      <c r="BG6" s="15" t="s">
        <v>211</v>
      </c>
      <c r="BH6" s="15" t="s">
        <v>214</v>
      </c>
      <c r="BI6" s="15" t="s">
        <v>214</v>
      </c>
      <c r="BJ6" s="15" t="s">
        <v>214</v>
      </c>
      <c r="BK6" s="15" t="s">
        <v>214</v>
      </c>
      <c r="BL6" s="15" t="s">
        <v>214</v>
      </c>
    </row>
    <row r="7" spans="1:65" s="15" customFormat="1" ht="73.150000000000006" customHeight="1" x14ac:dyDescent="0.25">
      <c r="A7" s="74" t="s">
        <v>14</v>
      </c>
      <c r="B7" s="74" t="s">
        <v>52</v>
      </c>
      <c r="C7" s="71" t="s">
        <v>376</v>
      </c>
      <c r="D7" s="71" t="s">
        <v>376</v>
      </c>
      <c r="E7" s="71" t="s">
        <v>376</v>
      </c>
      <c r="F7" s="71" t="s">
        <v>116</v>
      </c>
      <c r="G7" s="71" t="s">
        <v>116</v>
      </c>
      <c r="H7" s="71" t="s">
        <v>92</v>
      </c>
      <c r="I7" s="71" t="s">
        <v>222</v>
      </c>
      <c r="J7" s="71" t="s">
        <v>117</v>
      </c>
      <c r="K7" s="71" t="s">
        <v>172</v>
      </c>
      <c r="L7" s="71" t="s">
        <v>172</v>
      </c>
      <c r="M7" s="71" t="s">
        <v>93</v>
      </c>
      <c r="N7" s="2" t="s">
        <v>119</v>
      </c>
      <c r="O7" s="2" t="s">
        <v>269</v>
      </c>
      <c r="P7" s="2" t="s">
        <v>269</v>
      </c>
      <c r="Q7" s="2" t="s">
        <v>229</v>
      </c>
      <c r="R7" s="2" t="s">
        <v>229</v>
      </c>
      <c r="S7" s="2" t="s">
        <v>229</v>
      </c>
      <c r="T7" s="2" t="s">
        <v>231</v>
      </c>
      <c r="U7" s="2" t="s">
        <v>229</v>
      </c>
      <c r="V7" s="2" t="s">
        <v>233</v>
      </c>
      <c r="W7" s="2" t="s">
        <v>229</v>
      </c>
      <c r="X7" s="2" t="s">
        <v>123</v>
      </c>
      <c r="Y7" s="2" t="s">
        <v>182</v>
      </c>
      <c r="Z7" s="2" t="s">
        <v>123</v>
      </c>
      <c r="AA7" s="2" t="s">
        <v>123</v>
      </c>
      <c r="AB7" s="2" t="s">
        <v>184</v>
      </c>
      <c r="AC7" s="2" t="s">
        <v>237</v>
      </c>
      <c r="AD7" s="2" t="s">
        <v>238</v>
      </c>
      <c r="AE7" s="2" t="s">
        <v>238</v>
      </c>
      <c r="AF7" s="2" t="s">
        <v>238</v>
      </c>
      <c r="AG7" s="2" t="s">
        <v>238</v>
      </c>
      <c r="AH7" s="2" t="s">
        <v>124</v>
      </c>
      <c r="AI7" s="2" t="s">
        <v>64</v>
      </c>
      <c r="AJ7" s="38" t="s">
        <v>242</v>
      </c>
      <c r="AK7" s="38" t="s">
        <v>242</v>
      </c>
      <c r="AL7" s="38" t="s">
        <v>100</v>
      </c>
      <c r="AM7" s="38" t="s">
        <v>246</v>
      </c>
      <c r="AN7" s="38" t="s">
        <v>192</v>
      </c>
      <c r="AO7" s="38" t="s">
        <v>101</v>
      </c>
      <c r="AP7" s="38" t="s">
        <v>246</v>
      </c>
      <c r="AQ7" s="38" t="s">
        <v>249</v>
      </c>
      <c r="AR7" s="38" t="s">
        <v>200</v>
      </c>
      <c r="AS7" s="38" t="s">
        <v>104</v>
      </c>
      <c r="AT7" s="15" t="s">
        <v>126</v>
      </c>
      <c r="AU7" s="15" t="s">
        <v>202</v>
      </c>
      <c r="AV7" s="15" t="s">
        <v>127</v>
      </c>
      <c r="AW7" s="15" t="s">
        <v>204</v>
      </c>
      <c r="AX7" s="15" t="s">
        <v>127</v>
      </c>
      <c r="AY7" s="15" t="s">
        <v>127</v>
      </c>
      <c r="AZ7" s="15" t="s">
        <v>127</v>
      </c>
      <c r="BA7" s="15" t="s">
        <v>127</v>
      </c>
      <c r="BB7" s="15" t="s">
        <v>127</v>
      </c>
      <c r="BC7" s="15" t="s">
        <v>127</v>
      </c>
      <c r="BD7" s="15" t="s">
        <v>209</v>
      </c>
      <c r="BE7" s="15" t="s">
        <v>209</v>
      </c>
      <c r="BF7" s="15" t="s">
        <v>210</v>
      </c>
      <c r="BG7" s="15" t="s">
        <v>212</v>
      </c>
      <c r="BH7" s="15" t="s">
        <v>127</v>
      </c>
      <c r="BI7" s="15" t="s">
        <v>127</v>
      </c>
      <c r="BJ7" s="15" t="s">
        <v>127</v>
      </c>
      <c r="BK7" s="15" t="s">
        <v>127</v>
      </c>
      <c r="BL7" s="15" t="s">
        <v>127</v>
      </c>
    </row>
    <row r="8" spans="1:65" s="16" customFormat="1" ht="133.9" customHeight="1" x14ac:dyDescent="0.25">
      <c r="A8" s="72" t="s">
        <v>15</v>
      </c>
      <c r="B8" s="72" t="s">
        <v>12</v>
      </c>
      <c r="C8" s="73" t="s">
        <v>94</v>
      </c>
      <c r="D8" s="73" t="s">
        <v>94</v>
      </c>
      <c r="E8" s="73" t="s">
        <v>94</v>
      </c>
      <c r="F8" s="73" t="s">
        <v>94</v>
      </c>
      <c r="G8" s="73" t="s">
        <v>94</v>
      </c>
      <c r="H8" s="73" t="s">
        <v>94</v>
      </c>
      <c r="I8" s="73" t="s">
        <v>89</v>
      </c>
      <c r="J8" s="73" t="s">
        <v>89</v>
      </c>
      <c r="K8" s="73" t="s">
        <v>89</v>
      </c>
      <c r="L8" s="73" t="s">
        <v>89</v>
      </c>
      <c r="M8" s="73" t="s">
        <v>94</v>
      </c>
      <c r="N8" s="3" t="s">
        <v>358</v>
      </c>
      <c r="O8" s="3" t="s">
        <v>358</v>
      </c>
      <c r="P8" s="3" t="s">
        <v>358</v>
      </c>
      <c r="Q8" s="3" t="s">
        <v>129</v>
      </c>
      <c r="R8" s="3" t="s">
        <v>271</v>
      </c>
      <c r="S8" s="3" t="s">
        <v>271</v>
      </c>
      <c r="T8" s="3" t="s">
        <v>271</v>
      </c>
      <c r="U8" s="3" t="s">
        <v>271</v>
      </c>
      <c r="V8" s="3" t="s">
        <v>271</v>
      </c>
      <c r="W8" s="3" t="s">
        <v>271</v>
      </c>
      <c r="X8" s="3" t="s">
        <v>274</v>
      </c>
      <c r="Y8" s="3" t="s">
        <v>274</v>
      </c>
      <c r="Z8" s="3" t="s">
        <v>274</v>
      </c>
      <c r="AA8" s="3" t="s">
        <v>274</v>
      </c>
      <c r="AB8" s="3" t="s">
        <v>131</v>
      </c>
      <c r="AC8" s="3" t="s">
        <v>274</v>
      </c>
      <c r="AD8" s="3" t="s">
        <v>132</v>
      </c>
      <c r="AE8" s="3" t="s">
        <v>134</v>
      </c>
      <c r="AF8" s="3" t="s">
        <v>132</v>
      </c>
      <c r="AG8" s="3" t="s">
        <v>133</v>
      </c>
      <c r="AH8" s="3" t="s">
        <v>276</v>
      </c>
      <c r="AI8" s="3" t="s">
        <v>129</v>
      </c>
      <c r="AJ8" s="16" t="s">
        <v>279</v>
      </c>
      <c r="AK8" s="16" t="s">
        <v>135</v>
      </c>
      <c r="AL8" s="16" t="s">
        <v>282</v>
      </c>
      <c r="AM8" s="16" t="s">
        <v>136</v>
      </c>
      <c r="AN8" s="16" t="s">
        <v>282</v>
      </c>
      <c r="AO8" s="16" t="s">
        <v>247</v>
      </c>
      <c r="AP8" s="16" t="s">
        <v>256</v>
      </c>
      <c r="AQ8" s="16" t="s">
        <v>285</v>
      </c>
      <c r="AR8" s="16" t="s">
        <v>198</v>
      </c>
      <c r="AS8" s="16" t="s">
        <v>135</v>
      </c>
      <c r="AT8" s="16" t="s">
        <v>251</v>
      </c>
      <c r="AU8" s="16" t="s">
        <v>253</v>
      </c>
      <c r="AV8" s="16" t="s">
        <v>286</v>
      </c>
      <c r="AW8" s="16" t="s">
        <v>286</v>
      </c>
      <c r="AX8" s="16" t="s">
        <v>286</v>
      </c>
      <c r="AY8" s="16" t="s">
        <v>286</v>
      </c>
      <c r="AZ8" s="16" t="s">
        <v>286</v>
      </c>
      <c r="BA8" s="16" t="s">
        <v>286</v>
      </c>
      <c r="BB8" s="16" t="s">
        <v>286</v>
      </c>
      <c r="BC8" s="16" t="s">
        <v>286</v>
      </c>
      <c r="BD8" s="16" t="s">
        <v>138</v>
      </c>
      <c r="BE8" s="16" t="s">
        <v>253</v>
      </c>
      <c r="BF8" s="16" t="s">
        <v>288</v>
      </c>
      <c r="BG8" s="16" t="s">
        <v>286</v>
      </c>
      <c r="BH8" s="16" t="s">
        <v>286</v>
      </c>
      <c r="BI8" s="16" t="s">
        <v>286</v>
      </c>
      <c r="BJ8" s="16" t="s">
        <v>286</v>
      </c>
      <c r="BK8" s="16" t="s">
        <v>286</v>
      </c>
      <c r="BL8" s="16" t="s">
        <v>286</v>
      </c>
    </row>
    <row r="9" spans="1:65" s="16" customFormat="1" ht="73.150000000000006" customHeight="1" x14ac:dyDescent="0.25">
      <c r="A9" s="72" t="s">
        <v>15</v>
      </c>
      <c r="B9" s="72" t="s">
        <v>13</v>
      </c>
      <c r="C9" s="73" t="s">
        <v>90</v>
      </c>
      <c r="D9" s="73" t="s">
        <v>259</v>
      </c>
      <c r="E9" s="73" t="s">
        <v>258</v>
      </c>
      <c r="F9" s="73" t="s">
        <v>220</v>
      </c>
      <c r="G9" s="73" t="s">
        <v>162</v>
      </c>
      <c r="H9" s="73" t="s">
        <v>221</v>
      </c>
      <c r="I9" s="73" t="s">
        <v>170</v>
      </c>
      <c r="J9" s="73" t="s">
        <v>223</v>
      </c>
      <c r="K9" s="73" t="s">
        <v>173</v>
      </c>
      <c r="L9" s="73" t="s">
        <v>225</v>
      </c>
      <c r="M9" s="73" t="s">
        <v>254</v>
      </c>
      <c r="N9" s="3" t="s">
        <v>227</v>
      </c>
      <c r="O9" s="3" t="s">
        <v>227</v>
      </c>
      <c r="P9" s="3" t="s">
        <v>228</v>
      </c>
      <c r="Q9" s="3" t="s">
        <v>177</v>
      </c>
      <c r="R9" s="3" t="s">
        <v>177</v>
      </c>
      <c r="S9" s="3" t="s">
        <v>177</v>
      </c>
      <c r="T9" s="3" t="s">
        <v>178</v>
      </c>
      <c r="U9" s="3" t="s">
        <v>177</v>
      </c>
      <c r="V9" s="3" t="s">
        <v>232</v>
      </c>
      <c r="W9" s="3" t="s">
        <v>234</v>
      </c>
      <c r="X9" s="3" t="s">
        <v>236</v>
      </c>
      <c r="Y9" s="3" t="s">
        <v>182</v>
      </c>
      <c r="Z9" s="3" t="s">
        <v>180</v>
      </c>
      <c r="AA9" s="3" t="s">
        <v>183</v>
      </c>
      <c r="AB9" s="3" t="s">
        <v>184</v>
      </c>
      <c r="AC9" s="3" t="s">
        <v>182</v>
      </c>
      <c r="AD9" s="3" t="s">
        <v>163</v>
      </c>
      <c r="AE9" s="3" t="s">
        <v>163</v>
      </c>
      <c r="AF9" s="3" t="s">
        <v>163</v>
      </c>
      <c r="AG9" s="3" t="s">
        <v>163</v>
      </c>
      <c r="AH9" s="3" t="s">
        <v>185</v>
      </c>
      <c r="AI9" s="3" t="s">
        <v>240</v>
      </c>
      <c r="AJ9" s="16" t="s">
        <v>97</v>
      </c>
      <c r="AK9" s="16" t="s">
        <v>244</v>
      </c>
      <c r="AL9" s="16" t="s">
        <v>189</v>
      </c>
      <c r="AM9" s="16" t="s">
        <v>191</v>
      </c>
      <c r="AN9" s="16" t="s">
        <v>189</v>
      </c>
      <c r="AO9" s="16" t="s">
        <v>193</v>
      </c>
      <c r="AP9" s="16" t="s">
        <v>194</v>
      </c>
      <c r="AQ9" s="16" t="s">
        <v>255</v>
      </c>
      <c r="AR9" s="16" t="s">
        <v>199</v>
      </c>
      <c r="AS9" s="16" t="s">
        <v>103</v>
      </c>
      <c r="AT9" s="16" t="s">
        <v>252</v>
      </c>
      <c r="AU9" s="16" t="s">
        <v>201</v>
      </c>
      <c r="AV9" s="16" t="s">
        <v>107</v>
      </c>
      <c r="AW9" s="16" t="s">
        <v>107</v>
      </c>
      <c r="AX9" s="16" t="s">
        <v>107</v>
      </c>
      <c r="AY9" s="16" t="s">
        <v>107</v>
      </c>
      <c r="AZ9" s="16" t="s">
        <v>107</v>
      </c>
      <c r="BA9" s="16" t="s">
        <v>266</v>
      </c>
      <c r="BB9" s="16" t="s">
        <v>266</v>
      </c>
      <c r="BC9" s="16" t="s">
        <v>266</v>
      </c>
      <c r="BD9" s="16" t="s">
        <v>208</v>
      </c>
      <c r="BE9" s="16" t="s">
        <v>168</v>
      </c>
      <c r="BF9" s="16" t="s">
        <v>164</v>
      </c>
      <c r="BG9" s="16" t="s">
        <v>211</v>
      </c>
      <c r="BH9" s="16" t="s">
        <v>214</v>
      </c>
      <c r="BI9" s="16" t="s">
        <v>214</v>
      </c>
      <c r="BJ9" s="16" t="s">
        <v>214</v>
      </c>
      <c r="BK9" s="16" t="s">
        <v>214</v>
      </c>
      <c r="BL9" s="16" t="s">
        <v>214</v>
      </c>
    </row>
    <row r="10" spans="1:65" s="16" customFormat="1" ht="73.150000000000006" customHeight="1" x14ac:dyDescent="0.25">
      <c r="A10" s="72" t="s">
        <v>15</v>
      </c>
      <c r="B10" s="72" t="s">
        <v>52</v>
      </c>
      <c r="C10" s="73" t="s">
        <v>128</v>
      </c>
      <c r="D10" s="73" t="s">
        <v>303</v>
      </c>
      <c r="E10" s="73" t="s">
        <v>268</v>
      </c>
      <c r="F10" s="73" t="s">
        <v>91</v>
      </c>
      <c r="G10" s="73" t="s">
        <v>109</v>
      </c>
      <c r="H10" s="73" t="s">
        <v>116</v>
      </c>
      <c r="I10" s="73" t="s">
        <v>222</v>
      </c>
      <c r="J10" s="73" t="s">
        <v>117</v>
      </c>
      <c r="K10" s="73" t="s">
        <v>172</v>
      </c>
      <c r="L10" s="73" t="s">
        <v>172</v>
      </c>
      <c r="M10" s="73" t="s">
        <v>93</v>
      </c>
      <c r="N10" s="3" t="s">
        <v>270</v>
      </c>
      <c r="O10" s="3" t="s">
        <v>269</v>
      </c>
      <c r="P10" s="3" t="s">
        <v>269</v>
      </c>
      <c r="Q10" s="3" t="s">
        <v>272</v>
      </c>
      <c r="R10" s="3" t="s">
        <v>272</v>
      </c>
      <c r="S10" s="3" t="s">
        <v>272</v>
      </c>
      <c r="T10" s="3" t="s">
        <v>272</v>
      </c>
      <c r="U10" s="3" t="s">
        <v>272</v>
      </c>
      <c r="V10" s="3" t="s">
        <v>233</v>
      </c>
      <c r="W10" s="3" t="s">
        <v>273</v>
      </c>
      <c r="X10" s="3" t="s">
        <v>130</v>
      </c>
      <c r="Y10" s="3" t="s">
        <v>182</v>
      </c>
      <c r="Z10" s="3" t="s">
        <v>130</v>
      </c>
      <c r="AA10" s="3" t="s">
        <v>275</v>
      </c>
      <c r="AB10" s="3" t="s">
        <v>184</v>
      </c>
      <c r="AC10" s="3" t="s">
        <v>237</v>
      </c>
      <c r="AD10" s="3" t="s">
        <v>163</v>
      </c>
      <c r="AE10" s="3" t="s">
        <v>163</v>
      </c>
      <c r="AF10" s="3" t="s">
        <v>163</v>
      </c>
      <c r="AG10" s="3" t="s">
        <v>163</v>
      </c>
      <c r="AH10" s="3" t="s">
        <v>277</v>
      </c>
      <c r="AI10" s="3" t="s">
        <v>278</v>
      </c>
      <c r="AJ10" s="39" t="s">
        <v>280</v>
      </c>
      <c r="AK10" s="39" t="s">
        <v>281</v>
      </c>
      <c r="AL10" s="39" t="s">
        <v>283</v>
      </c>
      <c r="AM10" s="39" t="s">
        <v>284</v>
      </c>
      <c r="AN10" s="40" t="s">
        <v>192</v>
      </c>
      <c r="AO10" s="40" t="s">
        <v>101</v>
      </c>
      <c r="AP10" s="40" t="s">
        <v>195</v>
      </c>
      <c r="AQ10" s="40" t="s">
        <v>249</v>
      </c>
      <c r="AR10" s="40" t="s">
        <v>200</v>
      </c>
      <c r="AS10" s="40" t="s">
        <v>104</v>
      </c>
      <c r="AT10" s="16" t="s">
        <v>126</v>
      </c>
      <c r="AU10" s="16" t="s">
        <v>202</v>
      </c>
      <c r="AV10" s="16" t="s">
        <v>287</v>
      </c>
      <c r="AW10" s="16" t="s">
        <v>137</v>
      </c>
      <c r="AX10" s="16" t="s">
        <v>287</v>
      </c>
      <c r="AY10" s="16" t="s">
        <v>287</v>
      </c>
      <c r="AZ10" s="16" t="s">
        <v>287</v>
      </c>
      <c r="BA10" s="16" t="s">
        <v>137</v>
      </c>
      <c r="BB10" s="16" t="s">
        <v>137</v>
      </c>
      <c r="BC10" s="16" t="s">
        <v>137</v>
      </c>
      <c r="BD10" s="16" t="s">
        <v>209</v>
      </c>
      <c r="BE10" s="16" t="s">
        <v>209</v>
      </c>
      <c r="BF10" s="16" t="s">
        <v>210</v>
      </c>
      <c r="BG10" s="16" t="s">
        <v>289</v>
      </c>
      <c r="BH10" s="16" t="s">
        <v>289</v>
      </c>
      <c r="BI10" s="16" t="s">
        <v>137</v>
      </c>
      <c r="BJ10" s="16" t="s">
        <v>287</v>
      </c>
      <c r="BK10" s="16" t="s">
        <v>290</v>
      </c>
      <c r="BL10" s="16" t="s">
        <v>290</v>
      </c>
    </row>
    <row r="11" spans="1:65" s="17" customFormat="1" ht="120" customHeight="1" x14ac:dyDescent="0.25">
      <c r="A11" s="70" t="s">
        <v>16</v>
      </c>
      <c r="B11" s="70" t="s">
        <v>12</v>
      </c>
      <c r="C11" s="67" t="s">
        <v>217</v>
      </c>
      <c r="D11" s="67" t="s">
        <v>217</v>
      </c>
      <c r="E11" s="67" t="s">
        <v>217</v>
      </c>
      <c r="F11" s="67" t="s">
        <v>217</v>
      </c>
      <c r="G11" s="67" t="s">
        <v>217</v>
      </c>
      <c r="H11" s="67" t="s">
        <v>217</v>
      </c>
      <c r="I11" s="67" t="s">
        <v>89</v>
      </c>
      <c r="J11" s="67" t="s">
        <v>89</v>
      </c>
      <c r="K11" s="67" t="s">
        <v>89</v>
      </c>
      <c r="L11" s="67" t="s">
        <v>89</v>
      </c>
      <c r="M11" s="67" t="s">
        <v>89</v>
      </c>
      <c r="N11" s="4" t="s">
        <v>295</v>
      </c>
      <c r="O11" s="4" t="s">
        <v>295</v>
      </c>
      <c r="P11" s="4" t="s">
        <v>295</v>
      </c>
      <c r="Q11" s="4" t="s">
        <v>295</v>
      </c>
      <c r="R11" s="4" t="s">
        <v>296</v>
      </c>
      <c r="S11" s="4" t="s">
        <v>296</v>
      </c>
      <c r="T11" s="4" t="s">
        <v>296</v>
      </c>
      <c r="U11" s="4" t="s">
        <v>296</v>
      </c>
      <c r="V11" s="4" t="s">
        <v>296</v>
      </c>
      <c r="W11" s="4" t="s">
        <v>296</v>
      </c>
      <c r="X11" s="77" t="s">
        <v>298</v>
      </c>
      <c r="Y11" s="77" t="s">
        <v>298</v>
      </c>
      <c r="Z11" s="77" t="s">
        <v>298</v>
      </c>
      <c r="AA11" s="77" t="s">
        <v>298</v>
      </c>
      <c r="AB11" s="77" t="s">
        <v>298</v>
      </c>
      <c r="AC11" s="77" t="s">
        <v>298</v>
      </c>
      <c r="AD11" s="4" t="s">
        <v>299</v>
      </c>
      <c r="AE11" s="4" t="s">
        <v>299</v>
      </c>
      <c r="AF11" s="4" t="s">
        <v>299</v>
      </c>
      <c r="AG11" s="4" t="s">
        <v>299</v>
      </c>
      <c r="AH11" s="4" t="s">
        <v>295</v>
      </c>
      <c r="AI11" s="4" t="s">
        <v>295</v>
      </c>
      <c r="AJ11" s="17" t="s">
        <v>241</v>
      </c>
      <c r="AK11" s="17" t="s">
        <v>243</v>
      </c>
      <c r="AL11" s="17" t="s">
        <v>282</v>
      </c>
      <c r="AM11" s="17" t="s">
        <v>300</v>
      </c>
      <c r="AN11" s="17" t="s">
        <v>282</v>
      </c>
      <c r="AO11" s="17" t="s">
        <v>247</v>
      </c>
      <c r="AP11" s="17" t="s">
        <v>300</v>
      </c>
      <c r="AQ11" s="17" t="s">
        <v>285</v>
      </c>
      <c r="AR11" s="17" t="s">
        <v>198</v>
      </c>
      <c r="AS11" s="17" t="s">
        <v>243</v>
      </c>
      <c r="AT11" s="17" t="s">
        <v>251</v>
      </c>
      <c r="AU11" s="17" t="s">
        <v>253</v>
      </c>
      <c r="AV11" s="17" t="s">
        <v>265</v>
      </c>
      <c r="AW11" s="17" t="s">
        <v>265</v>
      </c>
      <c r="AX11" s="17" t="s">
        <v>265</v>
      </c>
      <c r="AY11" s="17" t="s">
        <v>265</v>
      </c>
      <c r="AZ11" s="17" t="s">
        <v>265</v>
      </c>
      <c r="BA11" s="17" t="s">
        <v>265</v>
      </c>
      <c r="BB11" s="17" t="s">
        <v>265</v>
      </c>
      <c r="BC11" s="17" t="s">
        <v>265</v>
      </c>
      <c r="BD11" s="17" t="s">
        <v>257</v>
      </c>
      <c r="BE11" s="17" t="s">
        <v>253</v>
      </c>
      <c r="BF11" s="17" t="s">
        <v>253</v>
      </c>
      <c r="BG11" s="17" t="s">
        <v>265</v>
      </c>
      <c r="BH11" s="17" t="s">
        <v>265</v>
      </c>
      <c r="BI11" s="17" t="s">
        <v>265</v>
      </c>
      <c r="BJ11" s="17" t="s">
        <v>265</v>
      </c>
      <c r="BK11" s="17" t="s">
        <v>265</v>
      </c>
      <c r="BL11" s="17" t="s">
        <v>265</v>
      </c>
    </row>
    <row r="12" spans="1:65" s="17" customFormat="1" ht="73.150000000000006" customHeight="1" x14ac:dyDescent="0.25">
      <c r="A12" s="70" t="s">
        <v>16</v>
      </c>
      <c r="B12" s="70" t="s">
        <v>13</v>
      </c>
      <c r="C12" s="67" t="s">
        <v>90</v>
      </c>
      <c r="D12" s="67" t="s">
        <v>259</v>
      </c>
      <c r="E12" s="67" t="s">
        <v>258</v>
      </c>
      <c r="F12" s="67" t="s">
        <v>220</v>
      </c>
      <c r="G12" s="67" t="s">
        <v>162</v>
      </c>
      <c r="H12" s="67" t="s">
        <v>221</v>
      </c>
      <c r="I12" s="67" t="s">
        <v>170</v>
      </c>
      <c r="J12" s="67" t="s">
        <v>223</v>
      </c>
      <c r="K12" s="67" t="s">
        <v>173</v>
      </c>
      <c r="L12" s="67" t="s">
        <v>225</v>
      </c>
      <c r="M12" s="67" t="s">
        <v>254</v>
      </c>
      <c r="N12" s="4" t="s">
        <v>227</v>
      </c>
      <c r="O12" s="4" t="s">
        <v>227</v>
      </c>
      <c r="P12" s="4" t="s">
        <v>228</v>
      </c>
      <c r="Q12" s="4" t="s">
        <v>177</v>
      </c>
      <c r="R12" s="4" t="s">
        <v>177</v>
      </c>
      <c r="S12" s="4" t="s">
        <v>177</v>
      </c>
      <c r="T12" s="4" t="s">
        <v>178</v>
      </c>
      <c r="U12" s="4" t="s">
        <v>177</v>
      </c>
      <c r="V12" s="4" t="s">
        <v>232</v>
      </c>
      <c r="W12" s="4" t="s">
        <v>234</v>
      </c>
      <c r="X12" s="4" t="s">
        <v>236</v>
      </c>
      <c r="Y12" s="4" t="s">
        <v>182</v>
      </c>
      <c r="Z12" s="4" t="s">
        <v>180</v>
      </c>
      <c r="AA12" s="4" t="s">
        <v>183</v>
      </c>
      <c r="AB12" s="4" t="s">
        <v>184</v>
      </c>
      <c r="AC12" s="4" t="s">
        <v>182</v>
      </c>
      <c r="AD12" s="4" t="s">
        <v>163</v>
      </c>
      <c r="AE12" s="4" t="s">
        <v>163</v>
      </c>
      <c r="AF12" s="4" t="s">
        <v>163</v>
      </c>
      <c r="AG12" s="4" t="s">
        <v>163</v>
      </c>
      <c r="AH12" s="4" t="s">
        <v>185</v>
      </c>
      <c r="AI12" s="4" t="s">
        <v>240</v>
      </c>
      <c r="AJ12" s="17" t="s">
        <v>97</v>
      </c>
      <c r="AK12" s="17" t="s">
        <v>244</v>
      </c>
      <c r="AL12" s="17" t="s">
        <v>189</v>
      </c>
      <c r="AM12" s="17" t="s">
        <v>191</v>
      </c>
      <c r="AN12" s="17" t="s">
        <v>189</v>
      </c>
      <c r="AO12" s="17" t="s">
        <v>193</v>
      </c>
      <c r="AP12" s="17" t="s">
        <v>194</v>
      </c>
      <c r="AQ12" s="17" t="s">
        <v>255</v>
      </c>
      <c r="AR12" s="17" t="s">
        <v>199</v>
      </c>
      <c r="AS12" s="17" t="s">
        <v>103</v>
      </c>
      <c r="AT12" s="17" t="s">
        <v>252</v>
      </c>
      <c r="AU12" s="17" t="s">
        <v>201</v>
      </c>
      <c r="AV12" s="17" t="s">
        <v>107</v>
      </c>
      <c r="AW12" s="17" t="s">
        <v>107</v>
      </c>
      <c r="AX12" s="17" t="s">
        <v>107</v>
      </c>
      <c r="AY12" s="17" t="s">
        <v>107</v>
      </c>
      <c r="AZ12" s="17" t="s">
        <v>107</v>
      </c>
      <c r="BA12" s="17" t="s">
        <v>266</v>
      </c>
      <c r="BB12" s="17" t="s">
        <v>266</v>
      </c>
      <c r="BC12" s="17" t="s">
        <v>266</v>
      </c>
      <c r="BD12" s="17" t="s">
        <v>208</v>
      </c>
      <c r="BE12" s="17" t="s">
        <v>168</v>
      </c>
      <c r="BF12" s="17" t="s">
        <v>164</v>
      </c>
      <c r="BG12" s="17" t="s">
        <v>211</v>
      </c>
      <c r="BH12" s="17" t="s">
        <v>214</v>
      </c>
      <c r="BI12" s="17" t="s">
        <v>214</v>
      </c>
      <c r="BJ12" s="17" t="s">
        <v>214</v>
      </c>
      <c r="BK12" s="17" t="s">
        <v>214</v>
      </c>
      <c r="BL12" s="17" t="s">
        <v>214</v>
      </c>
    </row>
    <row r="13" spans="1:65" s="17" customFormat="1" ht="73.150000000000006" customHeight="1" x14ac:dyDescent="0.25">
      <c r="A13" s="70" t="s">
        <v>16</v>
      </c>
      <c r="B13" s="70" t="s">
        <v>52</v>
      </c>
      <c r="C13" s="67" t="s">
        <v>291</v>
      </c>
      <c r="D13" s="67" t="s">
        <v>291</v>
      </c>
      <c r="E13" s="67" t="s">
        <v>292</v>
      </c>
      <c r="F13" s="67" t="s">
        <v>293</v>
      </c>
      <c r="G13" s="67" t="s">
        <v>109</v>
      </c>
      <c r="H13" s="67" t="s">
        <v>116</v>
      </c>
      <c r="I13" s="67" t="s">
        <v>262</v>
      </c>
      <c r="J13" s="67" t="s">
        <v>294</v>
      </c>
      <c r="K13" s="67" t="s">
        <v>262</v>
      </c>
      <c r="L13" s="67" t="s">
        <v>262</v>
      </c>
      <c r="M13" s="67" t="s">
        <v>93</v>
      </c>
      <c r="N13" s="4" t="s">
        <v>169</v>
      </c>
      <c r="O13" s="4" t="s">
        <v>269</v>
      </c>
      <c r="P13" s="4" t="s">
        <v>269</v>
      </c>
      <c r="Q13" s="4" t="s">
        <v>139</v>
      </c>
      <c r="R13" s="4" t="s">
        <v>139</v>
      </c>
      <c r="S13" s="4" t="s">
        <v>139</v>
      </c>
      <c r="T13" s="4" t="s">
        <v>140</v>
      </c>
      <c r="U13" s="4" t="s">
        <v>139</v>
      </c>
      <c r="V13" s="4"/>
      <c r="W13" s="4" t="s">
        <v>297</v>
      </c>
      <c r="X13" s="4" t="s">
        <v>141</v>
      </c>
      <c r="Y13" s="4" t="s">
        <v>182</v>
      </c>
      <c r="Z13" s="4" t="s">
        <v>141</v>
      </c>
      <c r="AA13" s="4" t="s">
        <v>142</v>
      </c>
      <c r="AB13" s="4" t="s">
        <v>184</v>
      </c>
      <c r="AC13" s="4" t="s">
        <v>237</v>
      </c>
      <c r="AD13" s="4" t="s">
        <v>139</v>
      </c>
      <c r="AE13" s="4" t="s">
        <v>139</v>
      </c>
      <c r="AF13" s="4" t="s">
        <v>139</v>
      </c>
      <c r="AG13" s="4" t="s">
        <v>139</v>
      </c>
      <c r="AH13" s="4" t="s">
        <v>124</v>
      </c>
      <c r="AI13" s="4" t="s">
        <v>143</v>
      </c>
      <c r="AJ13" s="41" t="s">
        <v>242</v>
      </c>
      <c r="AK13" s="41" t="s">
        <v>242</v>
      </c>
      <c r="AL13" s="41" t="s">
        <v>100</v>
      </c>
      <c r="AM13" s="41" t="s">
        <v>246</v>
      </c>
      <c r="AN13" s="41" t="s">
        <v>192</v>
      </c>
      <c r="AO13" s="41" t="s">
        <v>101</v>
      </c>
      <c r="AP13" s="41" t="s">
        <v>246</v>
      </c>
      <c r="AQ13" s="41" t="s">
        <v>301</v>
      </c>
      <c r="AR13" s="41" t="s">
        <v>200</v>
      </c>
      <c r="AS13" s="41" t="s">
        <v>104</v>
      </c>
      <c r="AT13" s="17" t="s">
        <v>126</v>
      </c>
      <c r="AU13" s="17" t="s">
        <v>202</v>
      </c>
      <c r="AV13" s="17" t="s">
        <v>127</v>
      </c>
      <c r="AW13" s="17" t="s">
        <v>204</v>
      </c>
      <c r="AX13" s="17" t="s">
        <v>127</v>
      </c>
      <c r="AY13" s="17" t="s">
        <v>127</v>
      </c>
      <c r="AZ13" s="17" t="s">
        <v>127</v>
      </c>
      <c r="BA13" s="17" t="s">
        <v>137</v>
      </c>
      <c r="BB13" s="17" t="s">
        <v>137</v>
      </c>
      <c r="BC13" s="17" t="s">
        <v>137</v>
      </c>
      <c r="BD13" s="17" t="s">
        <v>209</v>
      </c>
      <c r="BE13" s="17" t="s">
        <v>209</v>
      </c>
      <c r="BF13" s="17" t="s">
        <v>210</v>
      </c>
      <c r="BG13" s="17" t="s">
        <v>212</v>
      </c>
      <c r="BH13" s="17" t="s">
        <v>127</v>
      </c>
      <c r="BI13" s="17" t="s">
        <v>127</v>
      </c>
      <c r="BJ13" s="17" t="s">
        <v>127</v>
      </c>
      <c r="BK13" s="17" t="s">
        <v>86</v>
      </c>
      <c r="BL13" s="17" t="s">
        <v>127</v>
      </c>
    </row>
    <row r="14" spans="1:65" s="18" customFormat="1" ht="91.9" customHeight="1" x14ac:dyDescent="0.25">
      <c r="A14" s="68" t="s">
        <v>17</v>
      </c>
      <c r="B14" s="68" t="s">
        <v>12</v>
      </c>
      <c r="C14" s="69" t="s">
        <v>302</v>
      </c>
      <c r="D14" s="69" t="s">
        <v>302</v>
      </c>
      <c r="E14" s="69" t="s">
        <v>302</v>
      </c>
      <c r="F14" s="69" t="s">
        <v>302</v>
      </c>
      <c r="G14" s="69" t="s">
        <v>302</v>
      </c>
      <c r="H14" s="69" t="s">
        <v>302</v>
      </c>
      <c r="I14" s="69" t="s">
        <v>89</v>
      </c>
      <c r="J14" s="69" t="s">
        <v>89</v>
      </c>
      <c r="K14" s="69" t="s">
        <v>89</v>
      </c>
      <c r="L14" s="69" t="s">
        <v>89</v>
      </c>
      <c r="M14" s="69" t="s">
        <v>89</v>
      </c>
      <c r="N14" s="5" t="s">
        <v>308</v>
      </c>
      <c r="O14" s="5" t="s">
        <v>308</v>
      </c>
      <c r="P14" s="5" t="s">
        <v>308</v>
      </c>
      <c r="Q14" s="5" t="s">
        <v>129</v>
      </c>
      <c r="R14" s="5" t="s">
        <v>298</v>
      </c>
      <c r="S14" s="5" t="s">
        <v>298</v>
      </c>
      <c r="T14" s="5" t="s">
        <v>298</v>
      </c>
      <c r="U14" s="5" t="s">
        <v>298</v>
      </c>
      <c r="V14" s="5" t="s">
        <v>298</v>
      </c>
      <c r="W14" s="5" t="s">
        <v>298</v>
      </c>
      <c r="X14" s="5" t="s">
        <v>298</v>
      </c>
      <c r="Y14" s="5" t="s">
        <v>298</v>
      </c>
      <c r="Z14" s="5" t="s">
        <v>298</v>
      </c>
      <c r="AA14" s="5" t="s">
        <v>298</v>
      </c>
      <c r="AB14" s="5" t="s">
        <v>131</v>
      </c>
      <c r="AC14" s="5" t="s">
        <v>298</v>
      </c>
      <c r="AD14" s="5" t="s">
        <v>312</v>
      </c>
      <c r="AE14" s="5" t="s">
        <v>312</v>
      </c>
      <c r="AF14" s="5" t="s">
        <v>312</v>
      </c>
      <c r="AG14" s="5" t="s">
        <v>312</v>
      </c>
      <c r="AH14" s="5" t="s">
        <v>312</v>
      </c>
      <c r="AI14" s="5" t="s">
        <v>129</v>
      </c>
      <c r="AJ14" s="18" t="s">
        <v>241</v>
      </c>
      <c r="AK14" s="18" t="s">
        <v>147</v>
      </c>
      <c r="AL14" s="18" t="s">
        <v>282</v>
      </c>
      <c r="AM14" s="18" t="s">
        <v>144</v>
      </c>
      <c r="AN14" s="18" t="s">
        <v>282</v>
      </c>
      <c r="AO14" s="18" t="s">
        <v>247</v>
      </c>
      <c r="AP14" s="18" t="s">
        <v>313</v>
      </c>
      <c r="AQ14" s="18" t="s">
        <v>285</v>
      </c>
      <c r="AR14" s="18" t="s">
        <v>198</v>
      </c>
      <c r="AS14" s="18" t="s">
        <v>147</v>
      </c>
      <c r="AT14" s="18" t="s">
        <v>251</v>
      </c>
      <c r="AU14" s="18" t="s">
        <v>253</v>
      </c>
      <c r="AV14" s="18" t="s">
        <v>314</v>
      </c>
      <c r="AW14" s="18" t="s">
        <v>314</v>
      </c>
      <c r="AX14" s="18" t="s">
        <v>314</v>
      </c>
      <c r="AY14" s="18" t="s">
        <v>314</v>
      </c>
      <c r="AZ14" s="18" t="s">
        <v>314</v>
      </c>
      <c r="BA14" s="18" t="s">
        <v>314</v>
      </c>
      <c r="BB14" s="18" t="s">
        <v>314</v>
      </c>
      <c r="BC14" s="18" t="s">
        <v>314</v>
      </c>
      <c r="BD14" s="18" t="s">
        <v>302</v>
      </c>
      <c r="BE14" s="18" t="s">
        <v>253</v>
      </c>
      <c r="BF14" s="18" t="s">
        <v>315</v>
      </c>
      <c r="BG14" s="18" t="s">
        <v>314</v>
      </c>
      <c r="BH14" s="18" t="s">
        <v>314</v>
      </c>
      <c r="BI14" s="18" t="s">
        <v>314</v>
      </c>
      <c r="BJ14" s="18" t="s">
        <v>314</v>
      </c>
      <c r="BK14" s="18" t="s">
        <v>314</v>
      </c>
      <c r="BL14" s="18" t="s">
        <v>314</v>
      </c>
    </row>
    <row r="15" spans="1:65" s="18" customFormat="1" ht="73.150000000000006" customHeight="1" x14ac:dyDescent="0.25">
      <c r="A15" s="68" t="s">
        <v>17</v>
      </c>
      <c r="B15" s="68" t="s">
        <v>13</v>
      </c>
      <c r="C15" s="69" t="s">
        <v>90</v>
      </c>
      <c r="D15" s="69" t="s">
        <v>259</v>
      </c>
      <c r="E15" s="69" t="s">
        <v>304</v>
      </c>
      <c r="F15" s="69" t="s">
        <v>306</v>
      </c>
      <c r="G15" s="69" t="s">
        <v>162</v>
      </c>
      <c r="H15" s="69" t="s">
        <v>221</v>
      </c>
      <c r="I15" s="69" t="s">
        <v>170</v>
      </c>
      <c r="J15" s="69" t="s">
        <v>223</v>
      </c>
      <c r="K15" s="69" t="s">
        <v>173</v>
      </c>
      <c r="L15" s="69" t="s">
        <v>225</v>
      </c>
      <c r="M15" s="69" t="s">
        <v>254</v>
      </c>
      <c r="N15" s="5" t="s">
        <v>227</v>
      </c>
      <c r="O15" s="5" t="s">
        <v>227</v>
      </c>
      <c r="P15" s="5" t="s">
        <v>228</v>
      </c>
      <c r="Q15" s="5" t="s">
        <v>177</v>
      </c>
      <c r="R15" s="5" t="s">
        <v>177</v>
      </c>
      <c r="S15" s="5" t="s">
        <v>177</v>
      </c>
      <c r="T15" s="5" t="s">
        <v>178</v>
      </c>
      <c r="U15" s="5" t="s">
        <v>177</v>
      </c>
      <c r="V15" s="5" t="s">
        <v>232</v>
      </c>
      <c r="W15" s="5" t="s">
        <v>234</v>
      </c>
      <c r="X15" s="5" t="s">
        <v>236</v>
      </c>
      <c r="Y15" s="5" t="s">
        <v>182</v>
      </c>
      <c r="Z15" s="5" t="s">
        <v>180</v>
      </c>
      <c r="AA15" s="5" t="s">
        <v>183</v>
      </c>
      <c r="AB15" s="5" t="s">
        <v>184</v>
      </c>
      <c r="AC15" s="5" t="s">
        <v>182</v>
      </c>
      <c r="AD15" s="5" t="s">
        <v>163</v>
      </c>
      <c r="AE15" s="5" t="s">
        <v>163</v>
      </c>
      <c r="AF15" s="5" t="s">
        <v>163</v>
      </c>
      <c r="AG15" s="5" t="s">
        <v>163</v>
      </c>
      <c r="AH15" s="5" t="s">
        <v>307</v>
      </c>
      <c r="AI15" s="5" t="s">
        <v>240</v>
      </c>
      <c r="AJ15" s="18" t="s">
        <v>97</v>
      </c>
      <c r="AK15" s="18" t="s">
        <v>244</v>
      </c>
      <c r="AL15" s="18" t="s">
        <v>189</v>
      </c>
      <c r="AM15" s="18" t="s">
        <v>191</v>
      </c>
      <c r="AN15" s="18" t="s">
        <v>189</v>
      </c>
      <c r="AO15" s="18" t="s">
        <v>193</v>
      </c>
      <c r="AP15" s="18" t="s">
        <v>194</v>
      </c>
      <c r="AQ15" s="18" t="s">
        <v>255</v>
      </c>
      <c r="AR15" s="18" t="s">
        <v>199</v>
      </c>
      <c r="AS15" s="18" t="s">
        <v>103</v>
      </c>
      <c r="AT15" s="18" t="s">
        <v>252</v>
      </c>
      <c r="AU15" s="18" t="s">
        <v>201</v>
      </c>
      <c r="AV15" s="18" t="s">
        <v>107</v>
      </c>
      <c r="AW15" s="18" t="s">
        <v>107</v>
      </c>
      <c r="AX15" s="18" t="s">
        <v>107</v>
      </c>
      <c r="AY15" s="18" t="s">
        <v>107</v>
      </c>
      <c r="AZ15" s="18" t="s">
        <v>107</v>
      </c>
      <c r="BA15" s="18" t="s">
        <v>266</v>
      </c>
      <c r="BB15" s="18" t="s">
        <v>266</v>
      </c>
      <c r="BC15" s="18" t="s">
        <v>266</v>
      </c>
      <c r="BD15" s="18" t="s">
        <v>208</v>
      </c>
      <c r="BE15" s="18" t="s">
        <v>168</v>
      </c>
      <c r="BF15" s="18" t="s">
        <v>164</v>
      </c>
      <c r="BG15" s="18" t="s">
        <v>211</v>
      </c>
      <c r="BH15" s="18" t="s">
        <v>214</v>
      </c>
      <c r="BI15" s="18" t="s">
        <v>214</v>
      </c>
      <c r="BJ15" s="18" t="s">
        <v>214</v>
      </c>
      <c r="BK15" s="18" t="s">
        <v>214</v>
      </c>
      <c r="BL15" s="18" t="s">
        <v>214</v>
      </c>
    </row>
    <row r="16" spans="1:65" s="18" customFormat="1" ht="73.150000000000006" customHeight="1" x14ac:dyDescent="0.25">
      <c r="A16" s="68" t="s">
        <v>17</v>
      </c>
      <c r="B16" s="68" t="s">
        <v>52</v>
      </c>
      <c r="C16" s="69" t="s">
        <v>128</v>
      </c>
      <c r="D16" s="69" t="s">
        <v>303</v>
      </c>
      <c r="E16" s="69" t="s">
        <v>305</v>
      </c>
      <c r="F16" s="69" t="s">
        <v>293</v>
      </c>
      <c r="G16" s="69" t="s">
        <v>293</v>
      </c>
      <c r="H16" s="69" t="s">
        <v>293</v>
      </c>
      <c r="I16" s="69" t="s">
        <v>145</v>
      </c>
      <c r="J16" s="69" t="s">
        <v>145</v>
      </c>
      <c r="K16" s="69" t="s">
        <v>262</v>
      </c>
      <c r="L16" s="69" t="s">
        <v>262</v>
      </c>
      <c r="M16" s="69" t="s">
        <v>93</v>
      </c>
      <c r="N16" s="5" t="s">
        <v>309</v>
      </c>
      <c r="O16" s="5" t="s">
        <v>269</v>
      </c>
      <c r="P16" s="5" t="s">
        <v>310</v>
      </c>
      <c r="Q16" s="5" t="s">
        <v>178</v>
      </c>
      <c r="R16" s="5" t="s">
        <v>178</v>
      </c>
      <c r="S16" s="5" t="s">
        <v>178</v>
      </c>
      <c r="T16" s="5" t="s">
        <v>178</v>
      </c>
      <c r="U16" s="5" t="s">
        <v>178</v>
      </c>
      <c r="V16" s="5" t="s">
        <v>233</v>
      </c>
      <c r="W16" s="5" t="s">
        <v>273</v>
      </c>
      <c r="X16" s="5" t="s">
        <v>311</v>
      </c>
      <c r="Y16" s="5" t="s">
        <v>182</v>
      </c>
      <c r="Z16" s="5" t="s">
        <v>311</v>
      </c>
      <c r="AA16" s="5" t="s">
        <v>146</v>
      </c>
      <c r="AB16" s="5" t="s">
        <v>184</v>
      </c>
      <c r="AC16" s="5" t="s">
        <v>237</v>
      </c>
      <c r="AD16" s="5" t="s">
        <v>178</v>
      </c>
      <c r="AE16" s="5" t="s">
        <v>178</v>
      </c>
      <c r="AF16" s="5" t="s">
        <v>178</v>
      </c>
      <c r="AG16" s="5" t="s">
        <v>178</v>
      </c>
      <c r="AH16" s="5" t="s">
        <v>124</v>
      </c>
      <c r="AI16" s="5" t="s">
        <v>64</v>
      </c>
      <c r="AJ16" s="42" t="s">
        <v>280</v>
      </c>
      <c r="AK16" s="42" t="s">
        <v>281</v>
      </c>
      <c r="AL16" s="42" t="s">
        <v>100</v>
      </c>
      <c r="AM16" s="42" t="s">
        <v>284</v>
      </c>
      <c r="AN16" s="42" t="s">
        <v>192</v>
      </c>
      <c r="AO16" s="42" t="s">
        <v>101</v>
      </c>
      <c r="AP16" s="42" t="s">
        <v>246</v>
      </c>
      <c r="AQ16" s="42" t="s">
        <v>249</v>
      </c>
      <c r="AR16" s="42" t="s">
        <v>200</v>
      </c>
      <c r="AS16" s="42" t="s">
        <v>105</v>
      </c>
      <c r="AT16" s="18" t="s">
        <v>126</v>
      </c>
      <c r="AU16" s="18" t="s">
        <v>202</v>
      </c>
      <c r="AV16" s="18" t="s">
        <v>287</v>
      </c>
      <c r="AW16" s="18" t="s">
        <v>137</v>
      </c>
      <c r="AX16" s="18" t="s">
        <v>287</v>
      </c>
      <c r="AY16" s="18" t="s">
        <v>127</v>
      </c>
      <c r="AZ16" s="18" t="s">
        <v>287</v>
      </c>
      <c r="BA16" s="18" t="s">
        <v>137</v>
      </c>
      <c r="BB16" s="18" t="s">
        <v>137</v>
      </c>
      <c r="BC16" s="18" t="s">
        <v>137</v>
      </c>
      <c r="BD16" s="18" t="s">
        <v>209</v>
      </c>
      <c r="BE16" s="18" t="s">
        <v>209</v>
      </c>
      <c r="BF16" s="18" t="s">
        <v>210</v>
      </c>
      <c r="BG16" s="18" t="s">
        <v>289</v>
      </c>
      <c r="BH16" s="18" t="s">
        <v>127</v>
      </c>
      <c r="BI16" s="18" t="s">
        <v>137</v>
      </c>
      <c r="BJ16" s="18" t="s">
        <v>127</v>
      </c>
      <c r="BK16" s="18" t="s">
        <v>290</v>
      </c>
      <c r="BL16" s="18" t="s">
        <v>290</v>
      </c>
    </row>
    <row r="17" spans="1:64" s="19" customFormat="1" ht="73.150000000000006" customHeight="1" x14ac:dyDescent="0.25">
      <c r="A17" s="65" t="s">
        <v>18</v>
      </c>
      <c r="B17" s="65" t="s">
        <v>12</v>
      </c>
      <c r="C17" s="66" t="s">
        <v>94</v>
      </c>
      <c r="D17" s="66" t="s">
        <v>94</v>
      </c>
      <c r="E17" s="66" t="s">
        <v>94</v>
      </c>
      <c r="F17" s="66" t="s">
        <v>94</v>
      </c>
      <c r="G17" s="66" t="s">
        <v>94</v>
      </c>
      <c r="H17" s="66" t="s">
        <v>94</v>
      </c>
      <c r="I17" s="66" t="s">
        <v>89</v>
      </c>
      <c r="J17" s="66" t="s">
        <v>89</v>
      </c>
      <c r="K17" s="66" t="s">
        <v>89</v>
      </c>
      <c r="L17" s="66" t="s">
        <v>89</v>
      </c>
      <c r="M17" s="66" t="s">
        <v>94</v>
      </c>
      <c r="N17" s="6" t="s">
        <v>317</v>
      </c>
      <c r="O17" s="6" t="s">
        <v>317</v>
      </c>
      <c r="P17" s="6" t="s">
        <v>317</v>
      </c>
      <c r="Q17" s="6" t="s">
        <v>129</v>
      </c>
      <c r="R17" s="6" t="s">
        <v>319</v>
      </c>
      <c r="S17" s="6" t="s">
        <v>319</v>
      </c>
      <c r="T17" s="6" t="s">
        <v>319</v>
      </c>
      <c r="U17" s="6" t="s">
        <v>319</v>
      </c>
      <c r="V17" s="6" t="s">
        <v>319</v>
      </c>
      <c r="W17" s="6" t="s">
        <v>319</v>
      </c>
      <c r="X17" s="6" t="s">
        <v>274</v>
      </c>
      <c r="Y17" s="6" t="s">
        <v>274</v>
      </c>
      <c r="Z17" s="6" t="s">
        <v>274</v>
      </c>
      <c r="AA17" s="6" t="s">
        <v>274</v>
      </c>
      <c r="AB17" s="6" t="s">
        <v>131</v>
      </c>
      <c r="AC17" s="6" t="s">
        <v>274</v>
      </c>
      <c r="AD17" s="6" t="s">
        <v>133</v>
      </c>
      <c r="AE17" s="6" t="s">
        <v>149</v>
      </c>
      <c r="AF17" s="6" t="s">
        <v>133</v>
      </c>
      <c r="AG17" s="6" t="s">
        <v>133</v>
      </c>
      <c r="AH17" s="6" t="s">
        <v>317</v>
      </c>
      <c r="AI17" s="6" t="s">
        <v>129</v>
      </c>
      <c r="AJ17" s="19" t="s">
        <v>279</v>
      </c>
      <c r="AK17" s="19" t="s">
        <v>135</v>
      </c>
      <c r="AL17" s="19" t="s">
        <v>282</v>
      </c>
      <c r="AM17" s="19" t="s">
        <v>136</v>
      </c>
      <c r="AN17" s="19" t="s">
        <v>282</v>
      </c>
      <c r="AO17" s="19" t="s">
        <v>247</v>
      </c>
      <c r="AP17" s="19" t="s">
        <v>256</v>
      </c>
      <c r="AQ17" s="19" t="s">
        <v>248</v>
      </c>
      <c r="AR17" s="19" t="s">
        <v>198</v>
      </c>
      <c r="AS17" s="19" t="s">
        <v>135</v>
      </c>
      <c r="AT17" s="19" t="s">
        <v>251</v>
      </c>
      <c r="AU17" s="19" t="s">
        <v>253</v>
      </c>
      <c r="AV17" s="19" t="s">
        <v>286</v>
      </c>
      <c r="AW17" s="19" t="s">
        <v>286</v>
      </c>
      <c r="AX17" s="19" t="s">
        <v>286</v>
      </c>
      <c r="AY17" s="19" t="s">
        <v>286</v>
      </c>
      <c r="AZ17" s="19" t="s">
        <v>286</v>
      </c>
      <c r="BA17" s="19" t="s">
        <v>286</v>
      </c>
      <c r="BB17" s="19" t="s">
        <v>286</v>
      </c>
      <c r="BC17" s="19" t="s">
        <v>286</v>
      </c>
      <c r="BD17" s="19" t="s">
        <v>138</v>
      </c>
      <c r="BE17" s="19" t="s">
        <v>253</v>
      </c>
      <c r="BF17" s="85" t="s">
        <v>85</v>
      </c>
      <c r="BG17" s="19" t="s">
        <v>286</v>
      </c>
      <c r="BH17" s="19" t="s">
        <v>286</v>
      </c>
      <c r="BI17" s="19" t="s">
        <v>286</v>
      </c>
      <c r="BJ17" s="19" t="s">
        <v>286</v>
      </c>
      <c r="BK17" s="19" t="s">
        <v>286</v>
      </c>
      <c r="BL17" s="19" t="s">
        <v>286</v>
      </c>
    </row>
    <row r="18" spans="1:64" s="19" customFormat="1" ht="73.150000000000006" customHeight="1" x14ac:dyDescent="0.25">
      <c r="A18" s="65" t="s">
        <v>18</v>
      </c>
      <c r="B18" s="65" t="s">
        <v>13</v>
      </c>
      <c r="C18" s="66" t="s">
        <v>90</v>
      </c>
      <c r="D18" s="66" t="s">
        <v>259</v>
      </c>
      <c r="E18" s="66" t="s">
        <v>258</v>
      </c>
      <c r="F18" s="66" t="s">
        <v>306</v>
      </c>
      <c r="G18" s="66" t="s">
        <v>162</v>
      </c>
      <c r="H18" s="66" t="s">
        <v>221</v>
      </c>
      <c r="I18" s="66" t="s">
        <v>170</v>
      </c>
      <c r="J18" s="66" t="s">
        <v>223</v>
      </c>
      <c r="K18" s="66" t="s">
        <v>173</v>
      </c>
      <c r="L18" s="66" t="s">
        <v>225</v>
      </c>
      <c r="M18" s="66" t="s">
        <v>254</v>
      </c>
      <c r="N18" s="6" t="s">
        <v>227</v>
      </c>
      <c r="O18" s="6" t="s">
        <v>227</v>
      </c>
      <c r="P18" s="6" t="s">
        <v>228</v>
      </c>
      <c r="Q18" s="6" t="s">
        <v>177</v>
      </c>
      <c r="R18" s="6" t="s">
        <v>177</v>
      </c>
      <c r="S18" s="6" t="s">
        <v>177</v>
      </c>
      <c r="T18" s="6" t="s">
        <v>178</v>
      </c>
      <c r="U18" s="6" t="s">
        <v>177</v>
      </c>
      <c r="V18" s="6" t="s">
        <v>232</v>
      </c>
      <c r="W18" s="6" t="s">
        <v>234</v>
      </c>
      <c r="X18" s="6" t="s">
        <v>236</v>
      </c>
      <c r="Y18" s="6" t="s">
        <v>182</v>
      </c>
      <c r="Z18" s="6" t="s">
        <v>180</v>
      </c>
      <c r="AA18" s="6" t="s">
        <v>183</v>
      </c>
      <c r="AB18" s="6" t="s">
        <v>184</v>
      </c>
      <c r="AC18" s="6" t="s">
        <v>182</v>
      </c>
      <c r="AD18" s="6" t="s">
        <v>163</v>
      </c>
      <c r="AE18" s="6" t="s">
        <v>163</v>
      </c>
      <c r="AF18" s="6" t="s">
        <v>163</v>
      </c>
      <c r="AG18" s="6" t="s">
        <v>163</v>
      </c>
      <c r="AH18" s="6" t="s">
        <v>185</v>
      </c>
      <c r="AI18" s="6" t="s">
        <v>240</v>
      </c>
      <c r="AJ18" s="19" t="s">
        <v>97</v>
      </c>
      <c r="AK18" s="19" t="s">
        <v>244</v>
      </c>
      <c r="AL18" s="19" t="s">
        <v>189</v>
      </c>
      <c r="AM18" s="19" t="s">
        <v>191</v>
      </c>
      <c r="AN18" s="19" t="s">
        <v>189</v>
      </c>
      <c r="AO18" s="19" t="s">
        <v>193</v>
      </c>
      <c r="AP18" s="19" t="s">
        <v>194</v>
      </c>
      <c r="AQ18" s="19" t="s">
        <v>255</v>
      </c>
      <c r="AR18" s="19" t="s">
        <v>199</v>
      </c>
      <c r="AS18" s="19" t="s">
        <v>103</v>
      </c>
      <c r="AT18" s="19" t="s">
        <v>252</v>
      </c>
      <c r="AU18" s="19" t="s">
        <v>201</v>
      </c>
      <c r="AV18" s="19" t="s">
        <v>107</v>
      </c>
      <c r="AW18" s="19" t="s">
        <v>107</v>
      </c>
      <c r="AX18" s="19" t="s">
        <v>107</v>
      </c>
      <c r="AY18" s="19" t="s">
        <v>107</v>
      </c>
      <c r="AZ18" s="19" t="s">
        <v>107</v>
      </c>
      <c r="BA18" s="19" t="s">
        <v>266</v>
      </c>
      <c r="BB18" s="19" t="s">
        <v>266</v>
      </c>
      <c r="BC18" s="19" t="s">
        <v>266</v>
      </c>
      <c r="BD18" s="19" t="s">
        <v>208</v>
      </c>
      <c r="BE18" s="19" t="s">
        <v>168</v>
      </c>
      <c r="BF18" s="19" t="s">
        <v>164</v>
      </c>
      <c r="BG18" s="19" t="s">
        <v>211</v>
      </c>
      <c r="BH18" s="19" t="s">
        <v>214</v>
      </c>
      <c r="BI18" s="19" t="s">
        <v>214</v>
      </c>
      <c r="BJ18" s="19" t="s">
        <v>214</v>
      </c>
      <c r="BK18" s="19" t="s">
        <v>214</v>
      </c>
      <c r="BL18" s="19" t="s">
        <v>214</v>
      </c>
    </row>
    <row r="19" spans="1:64" s="19" customFormat="1" ht="73.150000000000006" customHeight="1" x14ac:dyDescent="0.25">
      <c r="A19" s="65" t="s">
        <v>18</v>
      </c>
      <c r="B19" s="65" t="s">
        <v>52</v>
      </c>
      <c r="C19" s="66" t="s">
        <v>303</v>
      </c>
      <c r="D19" s="66" t="s">
        <v>303</v>
      </c>
      <c r="E19" s="66" t="s">
        <v>305</v>
      </c>
      <c r="F19" s="66" t="s">
        <v>316</v>
      </c>
      <c r="G19" s="66" t="s">
        <v>109</v>
      </c>
      <c r="H19" s="66" t="s">
        <v>116</v>
      </c>
      <c r="I19" s="66" t="s">
        <v>145</v>
      </c>
      <c r="J19" s="66" t="s">
        <v>145</v>
      </c>
      <c r="K19" s="66" t="s">
        <v>262</v>
      </c>
      <c r="L19" s="66" t="s">
        <v>262</v>
      </c>
      <c r="M19" s="66" t="s">
        <v>93</v>
      </c>
      <c r="N19" s="6" t="s">
        <v>318</v>
      </c>
      <c r="O19" s="6" t="s">
        <v>269</v>
      </c>
      <c r="P19" s="6" t="s">
        <v>228</v>
      </c>
      <c r="Q19" s="6" t="s">
        <v>177</v>
      </c>
      <c r="R19" s="6" t="s">
        <v>177</v>
      </c>
      <c r="S19" s="6" t="s">
        <v>177</v>
      </c>
      <c r="T19" s="6" t="s">
        <v>320</v>
      </c>
      <c r="U19" s="6" t="s">
        <v>177</v>
      </c>
      <c r="V19" s="6" t="s">
        <v>233</v>
      </c>
      <c r="W19" s="6" t="s">
        <v>148</v>
      </c>
      <c r="X19" s="6" t="s">
        <v>321</v>
      </c>
      <c r="Y19" s="6" t="s">
        <v>182</v>
      </c>
      <c r="Z19" s="6" t="s">
        <v>321</v>
      </c>
      <c r="AA19" s="6" t="s">
        <v>275</v>
      </c>
      <c r="AB19" s="6" t="s">
        <v>184</v>
      </c>
      <c r="AC19" s="6" t="s">
        <v>237</v>
      </c>
      <c r="AD19" s="6" t="s">
        <v>163</v>
      </c>
      <c r="AE19" s="6" t="s">
        <v>163</v>
      </c>
      <c r="AF19" s="6" t="s">
        <v>163</v>
      </c>
      <c r="AG19" s="6" t="s">
        <v>163</v>
      </c>
      <c r="AH19" s="6" t="s">
        <v>124</v>
      </c>
      <c r="AI19" s="6" t="s">
        <v>150</v>
      </c>
      <c r="AJ19" s="43" t="s">
        <v>281</v>
      </c>
      <c r="AK19" s="43" t="s">
        <v>281</v>
      </c>
      <c r="AL19" s="43" t="s">
        <v>283</v>
      </c>
      <c r="AM19" s="43" t="s">
        <v>283</v>
      </c>
      <c r="AN19" s="43" t="s">
        <v>192</v>
      </c>
      <c r="AO19" s="43" t="s">
        <v>101</v>
      </c>
      <c r="AP19" s="43" t="s">
        <v>246</v>
      </c>
      <c r="AQ19" s="43" t="s">
        <v>249</v>
      </c>
      <c r="AR19" s="43" t="s">
        <v>200</v>
      </c>
      <c r="AS19" s="43" t="s">
        <v>104</v>
      </c>
      <c r="AT19" s="19" t="s">
        <v>126</v>
      </c>
      <c r="AU19" s="19" t="s">
        <v>202</v>
      </c>
      <c r="AV19" s="19" t="s">
        <v>287</v>
      </c>
      <c r="AW19" s="19" t="s">
        <v>137</v>
      </c>
      <c r="AX19" s="19" t="s">
        <v>287</v>
      </c>
      <c r="AY19" s="19" t="s">
        <v>287</v>
      </c>
      <c r="AZ19" s="19" t="s">
        <v>287</v>
      </c>
      <c r="BA19" s="19" t="s">
        <v>137</v>
      </c>
      <c r="BB19" s="19" t="s">
        <v>137</v>
      </c>
      <c r="BC19" s="19" t="s">
        <v>137</v>
      </c>
      <c r="BD19" s="19" t="s">
        <v>209</v>
      </c>
      <c r="BE19" s="19" t="s">
        <v>209</v>
      </c>
      <c r="BF19" s="19" t="s">
        <v>210</v>
      </c>
      <c r="BG19" s="19" t="s">
        <v>289</v>
      </c>
      <c r="BH19" s="19" t="s">
        <v>127</v>
      </c>
      <c r="BI19" s="19" t="s">
        <v>137</v>
      </c>
      <c r="BJ19" s="19" t="s">
        <v>287</v>
      </c>
      <c r="BK19" s="19" t="s">
        <v>290</v>
      </c>
      <c r="BL19" s="19" t="s">
        <v>290</v>
      </c>
    </row>
    <row r="20" spans="1:64" s="20" customFormat="1" ht="97.15" customHeight="1" x14ac:dyDescent="0.25">
      <c r="A20" s="63" t="s">
        <v>19</v>
      </c>
      <c r="B20" s="63" t="s">
        <v>12</v>
      </c>
      <c r="C20" s="78" t="s">
        <v>20</v>
      </c>
      <c r="D20" s="78" t="s">
        <v>20</v>
      </c>
      <c r="E20" s="78" t="s">
        <v>20</v>
      </c>
      <c r="F20" s="78" t="s">
        <v>20</v>
      </c>
      <c r="G20" s="78" t="s">
        <v>20</v>
      </c>
      <c r="H20" s="78" t="s">
        <v>20</v>
      </c>
      <c r="I20" s="64" t="s">
        <v>89</v>
      </c>
      <c r="J20" s="64" t="s">
        <v>89</v>
      </c>
      <c r="K20" s="64" t="s">
        <v>89</v>
      </c>
      <c r="L20" s="64" t="s">
        <v>89</v>
      </c>
      <c r="M20" s="64" t="s">
        <v>89</v>
      </c>
      <c r="N20" s="7" t="s">
        <v>327</v>
      </c>
      <c r="O20" s="7" t="s">
        <v>327</v>
      </c>
      <c r="P20" s="7" t="s">
        <v>327</v>
      </c>
      <c r="Q20" s="7" t="s">
        <v>329</v>
      </c>
      <c r="R20" s="7" t="s">
        <v>331</v>
      </c>
      <c r="S20" s="7" t="s">
        <v>331</v>
      </c>
      <c r="T20" s="7" t="s">
        <v>331</v>
      </c>
      <c r="U20" s="7" t="s">
        <v>331</v>
      </c>
      <c r="V20" s="7" t="s">
        <v>331</v>
      </c>
      <c r="W20" s="7" t="s">
        <v>331</v>
      </c>
      <c r="X20" s="7" t="s">
        <v>333</v>
      </c>
      <c r="Y20" s="7" t="s">
        <v>333</v>
      </c>
      <c r="Z20" s="7" t="s">
        <v>333</v>
      </c>
      <c r="AA20" s="7" t="s">
        <v>333</v>
      </c>
      <c r="AB20" s="7" t="s">
        <v>333</v>
      </c>
      <c r="AC20" s="7" t="s">
        <v>333</v>
      </c>
      <c r="AD20" s="7" t="s">
        <v>335</v>
      </c>
      <c r="AE20" s="7" t="s">
        <v>335</v>
      </c>
      <c r="AF20" s="7" t="s">
        <v>335</v>
      </c>
      <c r="AG20" s="7" t="s">
        <v>335</v>
      </c>
      <c r="AH20" s="7" t="s">
        <v>331</v>
      </c>
      <c r="AI20" s="7" t="s">
        <v>329</v>
      </c>
      <c r="AJ20" s="20" t="s">
        <v>87</v>
      </c>
      <c r="AK20" s="20" t="s">
        <v>135</v>
      </c>
      <c r="AL20" s="20" t="s">
        <v>245</v>
      </c>
      <c r="AM20" s="20" t="s">
        <v>144</v>
      </c>
      <c r="AN20" s="20" t="s">
        <v>245</v>
      </c>
      <c r="AO20" s="20" t="s">
        <v>247</v>
      </c>
      <c r="AP20" s="20" t="s">
        <v>125</v>
      </c>
      <c r="AQ20" s="20" t="s">
        <v>248</v>
      </c>
      <c r="AR20" s="20" t="s">
        <v>198</v>
      </c>
      <c r="AS20" s="20" t="s">
        <v>135</v>
      </c>
      <c r="AT20" s="20" t="s">
        <v>251</v>
      </c>
      <c r="AU20" s="20" t="s">
        <v>253</v>
      </c>
      <c r="AV20" s="20" t="s">
        <v>265</v>
      </c>
      <c r="AW20" s="20" t="s">
        <v>265</v>
      </c>
      <c r="AX20" s="20" t="s">
        <v>265</v>
      </c>
      <c r="AY20" s="20" t="s">
        <v>265</v>
      </c>
      <c r="AZ20" s="20" t="s">
        <v>265</v>
      </c>
      <c r="BA20" s="20" t="s">
        <v>265</v>
      </c>
      <c r="BB20" s="20" t="s">
        <v>265</v>
      </c>
      <c r="BC20" s="20" t="s">
        <v>265</v>
      </c>
      <c r="BD20" s="20" t="s">
        <v>339</v>
      </c>
      <c r="BE20" s="20" t="s">
        <v>253</v>
      </c>
      <c r="BF20" s="20" t="s">
        <v>288</v>
      </c>
      <c r="BG20" s="20" t="s">
        <v>265</v>
      </c>
      <c r="BH20" s="20" t="s">
        <v>265</v>
      </c>
      <c r="BI20" s="20" t="s">
        <v>265</v>
      </c>
      <c r="BJ20" s="20" t="s">
        <v>265</v>
      </c>
      <c r="BK20" s="20" t="s">
        <v>265</v>
      </c>
      <c r="BL20" s="20" t="s">
        <v>265</v>
      </c>
    </row>
    <row r="21" spans="1:64" s="20" customFormat="1" ht="73.150000000000006" customHeight="1" x14ac:dyDescent="0.25">
      <c r="A21" s="63" t="s">
        <v>19</v>
      </c>
      <c r="B21" s="63" t="s">
        <v>13</v>
      </c>
      <c r="C21" s="64" t="s">
        <v>90</v>
      </c>
      <c r="D21" s="64" t="s">
        <v>259</v>
      </c>
      <c r="E21" s="64" t="s">
        <v>258</v>
      </c>
      <c r="F21" s="64" t="s">
        <v>220</v>
      </c>
      <c r="G21" s="64" t="s">
        <v>162</v>
      </c>
      <c r="H21" s="64" t="s">
        <v>326</v>
      </c>
      <c r="I21" s="64" t="s">
        <v>170</v>
      </c>
      <c r="J21" s="64" t="s">
        <v>223</v>
      </c>
      <c r="K21" s="64" t="s">
        <v>173</v>
      </c>
      <c r="L21" s="64" t="s">
        <v>225</v>
      </c>
      <c r="M21" s="64" t="s">
        <v>254</v>
      </c>
      <c r="N21" s="7" t="s">
        <v>227</v>
      </c>
      <c r="O21" s="7" t="s">
        <v>227</v>
      </c>
      <c r="P21" s="7" t="s">
        <v>228</v>
      </c>
      <c r="Q21" s="7" t="s">
        <v>177</v>
      </c>
      <c r="R21" s="7" t="s">
        <v>177</v>
      </c>
      <c r="S21" s="7" t="s">
        <v>177</v>
      </c>
      <c r="T21" s="7" t="s">
        <v>178</v>
      </c>
      <c r="U21" s="7" t="s">
        <v>177</v>
      </c>
      <c r="V21" s="7" t="s">
        <v>232</v>
      </c>
      <c r="W21" s="7" t="s">
        <v>234</v>
      </c>
      <c r="X21" s="7" t="s">
        <v>236</v>
      </c>
      <c r="Y21" s="7" t="s">
        <v>182</v>
      </c>
      <c r="Z21" s="7" t="s">
        <v>180</v>
      </c>
      <c r="AA21" s="7" t="s">
        <v>183</v>
      </c>
      <c r="AB21" s="7" t="s">
        <v>184</v>
      </c>
      <c r="AC21" s="7" t="s">
        <v>182</v>
      </c>
      <c r="AD21" s="7" t="s">
        <v>325</v>
      </c>
      <c r="AE21" s="7" t="s">
        <v>325</v>
      </c>
      <c r="AF21" s="7" t="s">
        <v>325</v>
      </c>
      <c r="AG21" s="7" t="s">
        <v>325</v>
      </c>
      <c r="AH21" s="7" t="s">
        <v>185</v>
      </c>
      <c r="AI21" s="7" t="s">
        <v>240</v>
      </c>
      <c r="AJ21" s="20" t="s">
        <v>97</v>
      </c>
      <c r="AK21" s="20" t="s">
        <v>244</v>
      </c>
      <c r="AL21" s="20" t="s">
        <v>189</v>
      </c>
      <c r="AM21" s="20" t="s">
        <v>191</v>
      </c>
      <c r="AN21" s="20" t="s">
        <v>189</v>
      </c>
      <c r="AO21" s="20" t="s">
        <v>193</v>
      </c>
      <c r="AP21" s="20" t="s">
        <v>194</v>
      </c>
      <c r="AQ21" s="20" t="s">
        <v>255</v>
      </c>
      <c r="AR21" s="20" t="s">
        <v>199</v>
      </c>
      <c r="AS21" s="20" t="s">
        <v>103</v>
      </c>
      <c r="AT21" s="20" t="s">
        <v>252</v>
      </c>
      <c r="AU21" s="20" t="s">
        <v>201</v>
      </c>
      <c r="AV21" s="20" t="s">
        <v>107</v>
      </c>
      <c r="AW21" s="20" t="s">
        <v>107</v>
      </c>
      <c r="AX21" s="20" t="s">
        <v>107</v>
      </c>
      <c r="AY21" s="20" t="s">
        <v>107</v>
      </c>
      <c r="AZ21" s="20" t="s">
        <v>107</v>
      </c>
      <c r="BA21" s="20" t="s">
        <v>266</v>
      </c>
      <c r="BB21" s="20" t="s">
        <v>266</v>
      </c>
      <c r="BC21" s="20" t="s">
        <v>266</v>
      </c>
      <c r="BD21" s="20" t="s">
        <v>208</v>
      </c>
      <c r="BE21" s="20" t="s">
        <v>168</v>
      </c>
      <c r="BF21" s="20" t="s">
        <v>164</v>
      </c>
      <c r="BG21" s="20" t="s">
        <v>211</v>
      </c>
      <c r="BH21" s="20" t="s">
        <v>214</v>
      </c>
      <c r="BI21" s="20" t="s">
        <v>214</v>
      </c>
      <c r="BJ21" s="20" t="s">
        <v>214</v>
      </c>
      <c r="BK21" s="20" t="s">
        <v>214</v>
      </c>
      <c r="BL21" s="20" t="s">
        <v>214</v>
      </c>
    </row>
    <row r="22" spans="1:64" s="20" customFormat="1" ht="73.150000000000006" customHeight="1" x14ac:dyDescent="0.25">
      <c r="A22" s="63" t="s">
        <v>19</v>
      </c>
      <c r="B22" s="63" t="s">
        <v>52</v>
      </c>
      <c r="C22" s="64" t="s">
        <v>323</v>
      </c>
      <c r="D22" s="64" t="s">
        <v>323</v>
      </c>
      <c r="E22" s="64" t="s">
        <v>323</v>
      </c>
      <c r="F22" s="64" t="s">
        <v>324</v>
      </c>
      <c r="G22" s="64" t="s">
        <v>109</v>
      </c>
      <c r="H22" s="64" t="s">
        <v>116</v>
      </c>
      <c r="I22" s="64" t="s">
        <v>262</v>
      </c>
      <c r="J22" s="64" t="s">
        <v>262</v>
      </c>
      <c r="K22" s="64" t="s">
        <v>262</v>
      </c>
      <c r="L22" s="64" t="s">
        <v>262</v>
      </c>
      <c r="M22" s="64" t="s">
        <v>93</v>
      </c>
      <c r="N22" s="7" t="s">
        <v>328</v>
      </c>
      <c r="O22" s="7" t="s">
        <v>269</v>
      </c>
      <c r="P22" s="7" t="s">
        <v>269</v>
      </c>
      <c r="Q22" s="7" t="s">
        <v>330</v>
      </c>
      <c r="R22" s="7" t="s">
        <v>330</v>
      </c>
      <c r="S22" s="7" t="s">
        <v>330</v>
      </c>
      <c r="T22" s="82" t="s">
        <v>65</v>
      </c>
      <c r="U22" s="7" t="s">
        <v>330</v>
      </c>
      <c r="V22" s="7"/>
      <c r="W22" s="7" t="s">
        <v>229</v>
      </c>
      <c r="X22" s="7" t="s">
        <v>332</v>
      </c>
      <c r="Y22" s="7" t="s">
        <v>182</v>
      </c>
      <c r="Z22" s="7" t="s">
        <v>334</v>
      </c>
      <c r="AA22" s="77" t="s">
        <v>151</v>
      </c>
      <c r="AB22" s="7" t="s">
        <v>184</v>
      </c>
      <c r="AC22" s="7" t="s">
        <v>237</v>
      </c>
      <c r="AD22" s="7" t="s">
        <v>238</v>
      </c>
      <c r="AE22" s="7" t="s">
        <v>238</v>
      </c>
      <c r="AF22" s="7" t="s">
        <v>238</v>
      </c>
      <c r="AG22" s="7" t="s">
        <v>238</v>
      </c>
      <c r="AH22" s="7" t="s">
        <v>336</v>
      </c>
      <c r="AI22" s="7" t="s">
        <v>337</v>
      </c>
      <c r="AJ22" s="44" t="s">
        <v>242</v>
      </c>
      <c r="AK22" s="44" t="s">
        <v>242</v>
      </c>
      <c r="AL22" s="44" t="s">
        <v>100</v>
      </c>
      <c r="AM22" s="44" t="s">
        <v>100</v>
      </c>
      <c r="AN22" s="44" t="s">
        <v>192</v>
      </c>
      <c r="AO22" s="44" t="s">
        <v>101</v>
      </c>
      <c r="AP22" s="44" t="s">
        <v>246</v>
      </c>
      <c r="AQ22" s="44" t="s">
        <v>249</v>
      </c>
      <c r="AR22" s="44" t="s">
        <v>200</v>
      </c>
      <c r="AS22" s="44" t="s">
        <v>104</v>
      </c>
      <c r="AT22" s="20" t="s">
        <v>126</v>
      </c>
      <c r="AU22" s="20" t="s">
        <v>202</v>
      </c>
      <c r="AV22" s="20" t="s">
        <v>338</v>
      </c>
      <c r="AW22" s="20" t="s">
        <v>338</v>
      </c>
      <c r="AX22" s="20" t="s">
        <v>338</v>
      </c>
      <c r="AY22" s="20" t="s">
        <v>338</v>
      </c>
      <c r="AZ22" s="20" t="s">
        <v>338</v>
      </c>
      <c r="BA22" s="20" t="s">
        <v>338</v>
      </c>
      <c r="BB22" s="20" t="s">
        <v>338</v>
      </c>
      <c r="BC22" s="20" t="s">
        <v>338</v>
      </c>
      <c r="BD22" s="20" t="s">
        <v>209</v>
      </c>
      <c r="BE22" s="20" t="s">
        <v>209</v>
      </c>
      <c r="BF22" s="20" t="s">
        <v>210</v>
      </c>
      <c r="BG22" s="20" t="s">
        <v>338</v>
      </c>
      <c r="BH22" s="20" t="s">
        <v>338</v>
      </c>
      <c r="BI22" s="20" t="s">
        <v>338</v>
      </c>
      <c r="BJ22" s="20" t="s">
        <v>127</v>
      </c>
      <c r="BK22" s="20" t="s">
        <v>338</v>
      </c>
      <c r="BL22" s="20" t="s">
        <v>338</v>
      </c>
    </row>
    <row r="23" spans="1:64" s="21" customFormat="1" ht="105" customHeight="1" x14ac:dyDescent="0.25">
      <c r="A23" s="61" t="s">
        <v>21</v>
      </c>
      <c r="B23" s="61" t="s">
        <v>12</v>
      </c>
      <c r="C23" s="62" t="s">
        <v>340</v>
      </c>
      <c r="D23" s="62" t="s">
        <v>340</v>
      </c>
      <c r="E23" s="62" t="s">
        <v>340</v>
      </c>
      <c r="F23" s="62" t="s">
        <v>340</v>
      </c>
      <c r="G23" s="62" t="s">
        <v>340</v>
      </c>
      <c r="H23" s="62" t="s">
        <v>340</v>
      </c>
      <c r="I23" s="62" t="s">
        <v>89</v>
      </c>
      <c r="J23" s="62" t="s">
        <v>89</v>
      </c>
      <c r="K23" s="62" t="s">
        <v>89</v>
      </c>
      <c r="L23" s="62" t="s">
        <v>89</v>
      </c>
      <c r="M23" s="62" t="s">
        <v>340</v>
      </c>
      <c r="N23" s="8" t="s">
        <v>217</v>
      </c>
      <c r="O23" s="8" t="s">
        <v>217</v>
      </c>
      <c r="P23" s="77" t="s">
        <v>344</v>
      </c>
      <c r="Q23" s="77" t="s">
        <v>344</v>
      </c>
      <c r="R23" s="77" t="s">
        <v>345</v>
      </c>
      <c r="S23" s="77" t="s">
        <v>345</v>
      </c>
      <c r="T23" s="77" t="s">
        <v>345</v>
      </c>
      <c r="U23" s="77" t="s">
        <v>345</v>
      </c>
      <c r="V23" s="77" t="s">
        <v>345</v>
      </c>
      <c r="W23" s="77" t="s">
        <v>345</v>
      </c>
      <c r="X23" s="77" t="s">
        <v>344</v>
      </c>
      <c r="Y23" s="77" t="s">
        <v>344</v>
      </c>
      <c r="Z23" s="77" t="s">
        <v>344</v>
      </c>
      <c r="AA23" s="77" t="s">
        <v>344</v>
      </c>
      <c r="AB23" s="77" t="s">
        <v>344</v>
      </c>
      <c r="AC23" s="77" t="s">
        <v>344</v>
      </c>
      <c r="AD23" s="77" t="s">
        <v>344</v>
      </c>
      <c r="AE23" s="77" t="s">
        <v>344</v>
      </c>
      <c r="AF23" s="77" t="s">
        <v>344</v>
      </c>
      <c r="AG23" s="77" t="s">
        <v>344</v>
      </c>
      <c r="AH23" s="77" t="s">
        <v>344</v>
      </c>
      <c r="AI23" s="77" t="s">
        <v>344</v>
      </c>
      <c r="AJ23" s="21" t="s">
        <v>87</v>
      </c>
      <c r="AK23" s="21" t="s">
        <v>135</v>
      </c>
      <c r="AL23" s="21" t="s">
        <v>245</v>
      </c>
      <c r="AM23" s="21" t="s">
        <v>144</v>
      </c>
      <c r="AN23" s="21" t="s">
        <v>245</v>
      </c>
      <c r="AO23" s="21" t="s">
        <v>247</v>
      </c>
      <c r="AP23" s="21" t="s">
        <v>125</v>
      </c>
      <c r="AQ23" s="21" t="s">
        <v>248</v>
      </c>
      <c r="AR23" s="21" t="s">
        <v>198</v>
      </c>
      <c r="AS23" s="21" t="s">
        <v>135</v>
      </c>
      <c r="AT23" s="21" t="s">
        <v>251</v>
      </c>
      <c r="AU23" s="21" t="s">
        <v>253</v>
      </c>
      <c r="AV23" s="21" t="s">
        <v>265</v>
      </c>
      <c r="AW23" s="21" t="s">
        <v>265</v>
      </c>
      <c r="AX23" s="21" t="s">
        <v>265</v>
      </c>
      <c r="AY23" s="21" t="s">
        <v>265</v>
      </c>
      <c r="AZ23" s="21" t="s">
        <v>265</v>
      </c>
      <c r="BA23" s="21" t="s">
        <v>265</v>
      </c>
      <c r="BB23" s="21" t="s">
        <v>265</v>
      </c>
      <c r="BC23" s="21" t="s">
        <v>265</v>
      </c>
      <c r="BD23" s="21" t="s">
        <v>257</v>
      </c>
      <c r="BE23" s="21" t="s">
        <v>253</v>
      </c>
      <c r="BF23" s="21" t="s">
        <v>288</v>
      </c>
      <c r="BG23" s="21" t="s">
        <v>265</v>
      </c>
      <c r="BH23" s="21" t="s">
        <v>265</v>
      </c>
      <c r="BI23" s="21" t="s">
        <v>265</v>
      </c>
      <c r="BJ23" s="21" t="s">
        <v>265</v>
      </c>
      <c r="BK23" s="21" t="s">
        <v>265</v>
      </c>
      <c r="BL23" s="21" t="s">
        <v>265</v>
      </c>
    </row>
    <row r="24" spans="1:64" s="21" customFormat="1" ht="73.150000000000006" customHeight="1" x14ac:dyDescent="0.25">
      <c r="A24" s="61" t="s">
        <v>21</v>
      </c>
      <c r="B24" s="61" t="s">
        <v>13</v>
      </c>
      <c r="C24" s="62" t="s">
        <v>90</v>
      </c>
      <c r="D24" s="62" t="s">
        <v>259</v>
      </c>
      <c r="E24" s="62" t="s">
        <v>258</v>
      </c>
      <c r="F24" s="62" t="s">
        <v>220</v>
      </c>
      <c r="G24" s="62" t="s">
        <v>162</v>
      </c>
      <c r="H24" s="62" t="s">
        <v>326</v>
      </c>
      <c r="I24" s="62" t="s">
        <v>170</v>
      </c>
      <c r="J24" s="62" t="s">
        <v>223</v>
      </c>
      <c r="K24" s="62" t="s">
        <v>173</v>
      </c>
      <c r="L24" s="62" t="s">
        <v>225</v>
      </c>
      <c r="M24" s="62" t="s">
        <v>254</v>
      </c>
      <c r="N24" s="8" t="s">
        <v>227</v>
      </c>
      <c r="O24" s="8" t="s">
        <v>227</v>
      </c>
      <c r="P24" s="8" t="s">
        <v>228</v>
      </c>
      <c r="Q24" s="8" t="s">
        <v>177</v>
      </c>
      <c r="R24" s="8" t="s">
        <v>177</v>
      </c>
      <c r="S24" s="8" t="s">
        <v>177</v>
      </c>
      <c r="T24" s="8" t="s">
        <v>178</v>
      </c>
      <c r="U24" s="8" t="s">
        <v>177</v>
      </c>
      <c r="V24" s="8" t="s">
        <v>232</v>
      </c>
      <c r="W24" s="8" t="s">
        <v>234</v>
      </c>
      <c r="X24" s="8" t="s">
        <v>236</v>
      </c>
      <c r="Y24" s="8" t="s">
        <v>182</v>
      </c>
      <c r="Z24" s="8" t="s">
        <v>180</v>
      </c>
      <c r="AA24" s="8" t="s">
        <v>183</v>
      </c>
      <c r="AB24" s="8" t="s">
        <v>184</v>
      </c>
      <c r="AC24" s="8" t="s">
        <v>182</v>
      </c>
      <c r="AD24" s="8" t="s">
        <v>163</v>
      </c>
      <c r="AE24" s="8" t="s">
        <v>163</v>
      </c>
      <c r="AF24" s="8" t="s">
        <v>163</v>
      </c>
      <c r="AG24" s="8" t="s">
        <v>163</v>
      </c>
      <c r="AH24" s="8" t="s">
        <v>185</v>
      </c>
      <c r="AI24" s="8" t="s">
        <v>240</v>
      </c>
      <c r="AJ24" s="21" t="s">
        <v>97</v>
      </c>
      <c r="AK24" s="21" t="s">
        <v>244</v>
      </c>
      <c r="AL24" s="21" t="s">
        <v>189</v>
      </c>
      <c r="AM24" s="21" t="s">
        <v>191</v>
      </c>
      <c r="AN24" s="21" t="s">
        <v>189</v>
      </c>
      <c r="AO24" s="21" t="s">
        <v>193</v>
      </c>
      <c r="AP24" s="21" t="s">
        <v>194</v>
      </c>
      <c r="AQ24" s="21" t="s">
        <v>255</v>
      </c>
      <c r="AR24" s="21" t="s">
        <v>199</v>
      </c>
      <c r="AS24" s="21" t="s">
        <v>103</v>
      </c>
      <c r="AT24" s="21" t="s">
        <v>252</v>
      </c>
      <c r="AU24" s="21" t="s">
        <v>201</v>
      </c>
      <c r="AV24" s="21" t="s">
        <v>107</v>
      </c>
      <c r="AW24" s="21" t="s">
        <v>107</v>
      </c>
      <c r="AX24" s="21" t="s">
        <v>107</v>
      </c>
      <c r="AY24" s="21" t="s">
        <v>107</v>
      </c>
      <c r="AZ24" s="21" t="s">
        <v>107</v>
      </c>
      <c r="BA24" s="21" t="s">
        <v>266</v>
      </c>
      <c r="BB24" s="21" t="s">
        <v>266</v>
      </c>
      <c r="BC24" s="21" t="s">
        <v>266</v>
      </c>
      <c r="BD24" s="21" t="s">
        <v>208</v>
      </c>
      <c r="BE24" s="21" t="s">
        <v>168</v>
      </c>
      <c r="BF24" s="21" t="s">
        <v>164</v>
      </c>
      <c r="BG24" s="21" t="s">
        <v>211</v>
      </c>
      <c r="BH24" s="21" t="s">
        <v>214</v>
      </c>
      <c r="BI24" s="21" t="s">
        <v>214</v>
      </c>
      <c r="BJ24" s="21" t="s">
        <v>214</v>
      </c>
      <c r="BK24" s="21" t="s">
        <v>214</v>
      </c>
      <c r="BL24" s="21" t="s">
        <v>214</v>
      </c>
    </row>
    <row r="25" spans="1:64" s="21" customFormat="1" ht="73.150000000000006" customHeight="1" x14ac:dyDescent="0.25">
      <c r="A25" s="61" t="s">
        <v>21</v>
      </c>
      <c r="B25" s="61" t="s">
        <v>52</v>
      </c>
      <c r="C25" s="62" t="s">
        <v>341</v>
      </c>
      <c r="D25" s="62" t="s">
        <v>341</v>
      </c>
      <c r="E25" s="62" t="s">
        <v>323</v>
      </c>
      <c r="F25" s="62" t="s">
        <v>342</v>
      </c>
      <c r="G25" s="62" t="s">
        <v>109</v>
      </c>
      <c r="H25" s="62" t="s">
        <v>342</v>
      </c>
      <c r="I25" s="62" t="s">
        <v>262</v>
      </c>
      <c r="J25" s="62" t="s">
        <v>262</v>
      </c>
      <c r="K25" s="62" t="s">
        <v>262</v>
      </c>
      <c r="L25" s="62" t="s">
        <v>262</v>
      </c>
      <c r="M25" s="62" t="s">
        <v>93</v>
      </c>
      <c r="N25" s="8" t="s">
        <v>343</v>
      </c>
      <c r="O25" s="8" t="s">
        <v>269</v>
      </c>
      <c r="P25" s="8" t="s">
        <v>269</v>
      </c>
      <c r="Q25" s="8" t="s">
        <v>346</v>
      </c>
      <c r="R25" s="8" t="s">
        <v>346</v>
      </c>
      <c r="S25" s="8" t="s">
        <v>346</v>
      </c>
      <c r="T25" s="8" t="s">
        <v>122</v>
      </c>
      <c r="U25" s="8"/>
      <c r="V25" s="8" t="s">
        <v>233</v>
      </c>
      <c r="W25" s="8" t="s">
        <v>346</v>
      </c>
      <c r="X25" s="8"/>
      <c r="Y25" s="8" t="s">
        <v>182</v>
      </c>
      <c r="Z25" s="8"/>
      <c r="AA25" s="77" t="s">
        <v>151</v>
      </c>
      <c r="AB25" s="8" t="s">
        <v>184</v>
      </c>
      <c r="AC25" s="8" t="s">
        <v>237</v>
      </c>
      <c r="AD25" s="8" t="s">
        <v>238</v>
      </c>
      <c r="AE25" s="8" t="s">
        <v>238</v>
      </c>
      <c r="AF25" s="8" t="s">
        <v>238</v>
      </c>
      <c r="AG25" s="8" t="s">
        <v>238</v>
      </c>
      <c r="AH25" s="8" t="s">
        <v>124</v>
      </c>
      <c r="AI25" s="8" t="s">
        <v>64</v>
      </c>
      <c r="AJ25" s="45" t="s">
        <v>242</v>
      </c>
      <c r="AK25" s="45" t="s">
        <v>242</v>
      </c>
      <c r="AL25" s="45" t="s">
        <v>100</v>
      </c>
      <c r="AM25" s="45" t="s">
        <v>100</v>
      </c>
      <c r="AN25" s="45" t="s">
        <v>192</v>
      </c>
      <c r="AO25" s="45" t="s">
        <v>101</v>
      </c>
      <c r="AP25" s="45" t="s">
        <v>246</v>
      </c>
      <c r="AQ25" s="45" t="s">
        <v>249</v>
      </c>
      <c r="AR25" s="45" t="s">
        <v>200</v>
      </c>
      <c r="AS25" s="45" t="s">
        <v>104</v>
      </c>
      <c r="AT25" s="21" t="s">
        <v>126</v>
      </c>
      <c r="AU25" s="21" t="s">
        <v>202</v>
      </c>
      <c r="AV25" s="21" t="s">
        <v>127</v>
      </c>
      <c r="AW25" s="21" t="s">
        <v>204</v>
      </c>
      <c r="AX25" s="21" t="s">
        <v>127</v>
      </c>
      <c r="AY25" s="21" t="s">
        <v>127</v>
      </c>
      <c r="AZ25" s="21" t="s">
        <v>127</v>
      </c>
      <c r="BA25" s="21" t="s">
        <v>127</v>
      </c>
      <c r="BB25" s="21" t="s">
        <v>127</v>
      </c>
      <c r="BC25" s="21" t="s">
        <v>127</v>
      </c>
      <c r="BD25" s="21" t="s">
        <v>209</v>
      </c>
      <c r="BE25" s="21" t="s">
        <v>209</v>
      </c>
      <c r="BF25" s="21" t="s">
        <v>210</v>
      </c>
      <c r="BG25" s="21" t="s">
        <v>212</v>
      </c>
      <c r="BH25" s="21" t="s">
        <v>127</v>
      </c>
      <c r="BI25" s="21" t="s">
        <v>127</v>
      </c>
      <c r="BJ25" s="21" t="s">
        <v>127</v>
      </c>
      <c r="BK25" s="21" t="s">
        <v>127</v>
      </c>
      <c r="BL25" s="21" t="s">
        <v>127</v>
      </c>
    </row>
    <row r="26" spans="1:64" s="22" customFormat="1" ht="103.9" customHeight="1" x14ac:dyDescent="0.25">
      <c r="A26" s="59" t="s">
        <v>22</v>
      </c>
      <c r="B26" s="59" t="s">
        <v>12</v>
      </c>
      <c r="C26" s="60" t="s">
        <v>340</v>
      </c>
      <c r="D26" s="60" t="s">
        <v>340</v>
      </c>
      <c r="E26" s="60" t="s">
        <v>340</v>
      </c>
      <c r="F26" s="60" t="s">
        <v>340</v>
      </c>
      <c r="G26" s="60" t="s">
        <v>340</v>
      </c>
      <c r="H26" s="60" t="s">
        <v>340</v>
      </c>
      <c r="I26" s="60" t="s">
        <v>89</v>
      </c>
      <c r="J26" s="60" t="s">
        <v>89</v>
      </c>
      <c r="K26" s="60" t="s">
        <v>89</v>
      </c>
      <c r="L26" s="60" t="s">
        <v>89</v>
      </c>
      <c r="M26" s="60" t="s">
        <v>340</v>
      </c>
      <c r="N26" s="9" t="s">
        <v>217</v>
      </c>
      <c r="O26" s="9" t="s">
        <v>217</v>
      </c>
      <c r="P26" s="77" t="s">
        <v>344</v>
      </c>
      <c r="Q26" s="77" t="s">
        <v>344</v>
      </c>
      <c r="R26" s="77" t="s">
        <v>345</v>
      </c>
      <c r="S26" s="77" t="s">
        <v>345</v>
      </c>
      <c r="T26" s="77" t="s">
        <v>345</v>
      </c>
      <c r="U26" s="77" t="s">
        <v>345</v>
      </c>
      <c r="V26" s="77" t="s">
        <v>345</v>
      </c>
      <c r="W26" s="77" t="s">
        <v>345</v>
      </c>
      <c r="X26" s="77" t="s">
        <v>344</v>
      </c>
      <c r="Y26" s="77" t="s">
        <v>344</v>
      </c>
      <c r="Z26" s="77" t="s">
        <v>344</v>
      </c>
      <c r="AA26" s="77" t="s">
        <v>344</v>
      </c>
      <c r="AB26" s="77" t="s">
        <v>344</v>
      </c>
      <c r="AC26" s="77" t="s">
        <v>344</v>
      </c>
      <c r="AD26" s="77" t="s">
        <v>344</v>
      </c>
      <c r="AE26" s="77" t="s">
        <v>344</v>
      </c>
      <c r="AF26" s="77" t="s">
        <v>344</v>
      </c>
      <c r="AG26" s="77" t="s">
        <v>344</v>
      </c>
      <c r="AH26" s="77" t="s">
        <v>344</v>
      </c>
      <c r="AI26" s="77" t="s">
        <v>344</v>
      </c>
      <c r="AJ26" s="22" t="s">
        <v>87</v>
      </c>
      <c r="AK26" s="22" t="s">
        <v>135</v>
      </c>
      <c r="AL26" s="22" t="s">
        <v>245</v>
      </c>
      <c r="AM26" s="22" t="s">
        <v>144</v>
      </c>
      <c r="AN26" s="22" t="s">
        <v>245</v>
      </c>
      <c r="AO26" s="22" t="s">
        <v>247</v>
      </c>
      <c r="AP26" s="22" t="s">
        <v>125</v>
      </c>
      <c r="AQ26" s="22" t="s">
        <v>248</v>
      </c>
      <c r="AR26" s="22" t="s">
        <v>198</v>
      </c>
      <c r="AS26" s="22" t="s">
        <v>135</v>
      </c>
      <c r="AT26" s="22" t="s">
        <v>251</v>
      </c>
      <c r="AU26" s="22" t="s">
        <v>253</v>
      </c>
      <c r="AV26" s="22" t="s">
        <v>265</v>
      </c>
      <c r="AW26" s="22" t="s">
        <v>265</v>
      </c>
      <c r="AX26" s="22" t="s">
        <v>265</v>
      </c>
      <c r="AY26" s="22" t="s">
        <v>265</v>
      </c>
      <c r="AZ26" s="22" t="s">
        <v>265</v>
      </c>
      <c r="BA26" s="22" t="s">
        <v>265</v>
      </c>
      <c r="BB26" s="22" t="s">
        <v>265</v>
      </c>
      <c r="BC26" s="22" t="s">
        <v>265</v>
      </c>
      <c r="BD26" s="22" t="s">
        <v>257</v>
      </c>
      <c r="BE26" s="22" t="s">
        <v>253</v>
      </c>
      <c r="BF26" s="22" t="s">
        <v>288</v>
      </c>
      <c r="BG26" s="22" t="s">
        <v>265</v>
      </c>
      <c r="BH26" s="22" t="s">
        <v>265</v>
      </c>
      <c r="BI26" s="22" t="s">
        <v>265</v>
      </c>
      <c r="BJ26" s="22" t="s">
        <v>265</v>
      </c>
      <c r="BK26" s="22" t="s">
        <v>265</v>
      </c>
      <c r="BL26" s="22" t="s">
        <v>265</v>
      </c>
    </row>
    <row r="27" spans="1:64" s="22" customFormat="1" ht="73.150000000000006" customHeight="1" x14ac:dyDescent="0.25">
      <c r="A27" s="59" t="s">
        <v>22</v>
      </c>
      <c r="B27" s="59" t="s">
        <v>13</v>
      </c>
      <c r="C27" s="60" t="s">
        <v>90</v>
      </c>
      <c r="D27" s="60" t="s">
        <v>259</v>
      </c>
      <c r="E27" s="60" t="s">
        <v>258</v>
      </c>
      <c r="F27" s="60" t="s">
        <v>220</v>
      </c>
      <c r="G27" s="60" t="s">
        <v>162</v>
      </c>
      <c r="H27" s="60" t="s">
        <v>326</v>
      </c>
      <c r="I27" s="60" t="s">
        <v>170</v>
      </c>
      <c r="J27" s="60" t="s">
        <v>223</v>
      </c>
      <c r="K27" s="60" t="s">
        <v>173</v>
      </c>
      <c r="L27" s="60" t="s">
        <v>225</v>
      </c>
      <c r="M27" s="60" t="s">
        <v>254</v>
      </c>
      <c r="N27" s="9" t="s">
        <v>227</v>
      </c>
      <c r="O27" s="9" t="s">
        <v>227</v>
      </c>
      <c r="P27" s="9" t="s">
        <v>228</v>
      </c>
      <c r="Q27" s="9" t="s">
        <v>177</v>
      </c>
      <c r="R27" s="9" t="s">
        <v>177</v>
      </c>
      <c r="S27" s="9" t="s">
        <v>177</v>
      </c>
      <c r="T27" s="9" t="s">
        <v>178</v>
      </c>
      <c r="U27" s="9" t="s">
        <v>177</v>
      </c>
      <c r="V27" s="9" t="s">
        <v>232</v>
      </c>
      <c r="W27" s="9" t="s">
        <v>234</v>
      </c>
      <c r="X27" s="9" t="s">
        <v>236</v>
      </c>
      <c r="Y27" s="9" t="s">
        <v>182</v>
      </c>
      <c r="Z27" s="9" t="s">
        <v>180</v>
      </c>
      <c r="AA27" s="9" t="s">
        <v>183</v>
      </c>
      <c r="AB27" s="9" t="s">
        <v>184</v>
      </c>
      <c r="AC27" s="9" t="s">
        <v>182</v>
      </c>
      <c r="AD27" s="9" t="s">
        <v>163</v>
      </c>
      <c r="AE27" s="9" t="s">
        <v>163</v>
      </c>
      <c r="AF27" s="9" t="s">
        <v>163</v>
      </c>
      <c r="AG27" s="9" t="s">
        <v>163</v>
      </c>
      <c r="AH27" s="9" t="s">
        <v>185</v>
      </c>
      <c r="AI27" s="9" t="s">
        <v>240</v>
      </c>
      <c r="AJ27" s="22" t="s">
        <v>97</v>
      </c>
      <c r="AK27" s="22" t="s">
        <v>244</v>
      </c>
      <c r="AL27" s="22" t="s">
        <v>189</v>
      </c>
      <c r="AM27" s="22" t="s">
        <v>191</v>
      </c>
      <c r="AN27" s="22" t="s">
        <v>189</v>
      </c>
      <c r="AO27" s="22" t="s">
        <v>193</v>
      </c>
      <c r="AP27" s="22" t="s">
        <v>194</v>
      </c>
      <c r="AQ27" s="22" t="s">
        <v>255</v>
      </c>
      <c r="AR27" s="22" t="s">
        <v>199</v>
      </c>
      <c r="AS27" s="22" t="s">
        <v>103</v>
      </c>
      <c r="AT27" s="22" t="s">
        <v>252</v>
      </c>
      <c r="AU27" s="22" t="s">
        <v>201</v>
      </c>
      <c r="AV27" s="22" t="s">
        <v>107</v>
      </c>
      <c r="AW27" s="22" t="s">
        <v>107</v>
      </c>
      <c r="AX27" s="22" t="s">
        <v>107</v>
      </c>
      <c r="AY27" s="22" t="s">
        <v>107</v>
      </c>
      <c r="AZ27" s="22" t="s">
        <v>107</v>
      </c>
      <c r="BA27" s="22" t="s">
        <v>266</v>
      </c>
      <c r="BB27" s="22" t="s">
        <v>266</v>
      </c>
      <c r="BC27" s="22" t="s">
        <v>266</v>
      </c>
      <c r="BD27" s="22" t="s">
        <v>208</v>
      </c>
      <c r="BE27" s="22" t="s">
        <v>168</v>
      </c>
      <c r="BF27" s="22" t="s">
        <v>164</v>
      </c>
      <c r="BG27" s="22" t="s">
        <v>211</v>
      </c>
      <c r="BH27" s="22" t="s">
        <v>214</v>
      </c>
      <c r="BI27" s="22" t="s">
        <v>214</v>
      </c>
      <c r="BJ27" s="22" t="s">
        <v>214</v>
      </c>
      <c r="BK27" s="22" t="s">
        <v>214</v>
      </c>
      <c r="BL27" s="22" t="s">
        <v>214</v>
      </c>
    </row>
    <row r="28" spans="1:64" s="22" customFormat="1" ht="73.150000000000006" customHeight="1" x14ac:dyDescent="0.25">
      <c r="A28" s="59" t="s">
        <v>22</v>
      </c>
      <c r="B28" s="59" t="s">
        <v>52</v>
      </c>
      <c r="C28" s="60" t="s">
        <v>218</v>
      </c>
      <c r="D28" s="60" t="s">
        <v>218</v>
      </c>
      <c r="E28" s="60" t="s">
        <v>218</v>
      </c>
      <c r="F28" s="60" t="s">
        <v>116</v>
      </c>
      <c r="G28" s="60" t="s">
        <v>109</v>
      </c>
      <c r="H28" s="60" t="s">
        <v>116</v>
      </c>
      <c r="I28" s="60" t="s">
        <v>262</v>
      </c>
      <c r="J28" s="60" t="s">
        <v>262</v>
      </c>
      <c r="K28" s="60" t="s">
        <v>262</v>
      </c>
      <c r="L28" s="60" t="s">
        <v>262</v>
      </c>
      <c r="M28" s="60" t="s">
        <v>93</v>
      </c>
      <c r="N28" s="9" t="s">
        <v>343</v>
      </c>
      <c r="O28" s="9" t="s">
        <v>269</v>
      </c>
      <c r="P28" s="9" t="s">
        <v>269</v>
      </c>
      <c r="Q28" s="9" t="s">
        <v>346</v>
      </c>
      <c r="R28" s="9" t="s">
        <v>346</v>
      </c>
      <c r="S28" s="9" t="s">
        <v>346</v>
      </c>
      <c r="T28" s="9" t="s">
        <v>346</v>
      </c>
      <c r="U28" s="9"/>
      <c r="V28" s="9" t="s">
        <v>233</v>
      </c>
      <c r="W28" s="9" t="s">
        <v>346</v>
      </c>
      <c r="X28" s="9" t="s">
        <v>64</v>
      </c>
      <c r="Y28" s="9" t="s">
        <v>182</v>
      </c>
      <c r="Z28" s="9" t="s">
        <v>64</v>
      </c>
      <c r="AA28" s="9" t="s">
        <v>64</v>
      </c>
      <c r="AB28" s="9" t="s">
        <v>184</v>
      </c>
      <c r="AC28" s="9" t="s">
        <v>237</v>
      </c>
      <c r="AD28" s="9" t="s">
        <v>238</v>
      </c>
      <c r="AE28" s="9" t="s">
        <v>238</v>
      </c>
      <c r="AF28" s="9" t="s">
        <v>238</v>
      </c>
      <c r="AG28" s="9" t="s">
        <v>238</v>
      </c>
      <c r="AH28" s="9" t="s">
        <v>124</v>
      </c>
      <c r="AI28" s="9" t="s">
        <v>64</v>
      </c>
      <c r="AJ28" s="46" t="s">
        <v>242</v>
      </c>
      <c r="AK28" s="46" t="s">
        <v>242</v>
      </c>
      <c r="AL28" s="46" t="s">
        <v>100</v>
      </c>
      <c r="AM28" s="46" t="s">
        <v>100</v>
      </c>
      <c r="AN28" s="46" t="s">
        <v>192</v>
      </c>
      <c r="AO28" s="46" t="s">
        <v>101</v>
      </c>
      <c r="AP28" s="46" t="s">
        <v>246</v>
      </c>
      <c r="AQ28" s="46" t="s">
        <v>249</v>
      </c>
      <c r="AR28" s="46" t="s">
        <v>200</v>
      </c>
      <c r="AS28" s="46" t="s">
        <v>104</v>
      </c>
      <c r="AT28" s="22" t="s">
        <v>126</v>
      </c>
      <c r="AU28" s="22" t="s">
        <v>202</v>
      </c>
      <c r="AV28" s="22" t="s">
        <v>127</v>
      </c>
      <c r="AW28" s="22" t="s">
        <v>204</v>
      </c>
      <c r="AX28" s="22" t="s">
        <v>127</v>
      </c>
      <c r="AY28" s="22" t="s">
        <v>127</v>
      </c>
      <c r="AZ28" s="22" t="s">
        <v>127</v>
      </c>
      <c r="BA28" s="22" t="s">
        <v>127</v>
      </c>
      <c r="BB28" s="22" t="s">
        <v>127</v>
      </c>
      <c r="BC28" s="22" t="s">
        <v>127</v>
      </c>
      <c r="BD28" s="22" t="s">
        <v>209</v>
      </c>
      <c r="BE28" s="22" t="s">
        <v>209</v>
      </c>
      <c r="BF28" s="22" t="s">
        <v>210</v>
      </c>
      <c r="BG28" s="22" t="s">
        <v>212</v>
      </c>
      <c r="BH28" s="22" t="s">
        <v>127</v>
      </c>
      <c r="BI28" s="22" t="s">
        <v>127</v>
      </c>
      <c r="BJ28" s="22" t="s">
        <v>127</v>
      </c>
      <c r="BK28" s="22" t="s">
        <v>127</v>
      </c>
      <c r="BL28" s="22" t="s">
        <v>127</v>
      </c>
    </row>
    <row r="29" spans="1:64" s="23" customFormat="1" ht="106.15" customHeight="1" x14ac:dyDescent="0.25">
      <c r="A29" s="57" t="s">
        <v>23</v>
      </c>
      <c r="B29" s="57" t="s">
        <v>12</v>
      </c>
      <c r="C29" s="58" t="s">
        <v>260</v>
      </c>
      <c r="D29" s="58" t="s">
        <v>260</v>
      </c>
      <c r="E29" s="58" t="s">
        <v>152</v>
      </c>
      <c r="F29" s="58" t="s">
        <v>260</v>
      </c>
      <c r="G29" s="58" t="s">
        <v>260</v>
      </c>
      <c r="H29" s="58" t="s">
        <v>260</v>
      </c>
      <c r="I29" s="58" t="s">
        <v>89</v>
      </c>
      <c r="J29" s="58" t="s">
        <v>89</v>
      </c>
      <c r="K29" s="58" t="s">
        <v>89</v>
      </c>
      <c r="L29" s="58" t="s">
        <v>89</v>
      </c>
      <c r="M29" s="58" t="s">
        <v>89</v>
      </c>
      <c r="N29" s="10" t="s">
        <v>347</v>
      </c>
      <c r="O29" s="10" t="s">
        <v>347</v>
      </c>
      <c r="P29" s="10" t="s">
        <v>347</v>
      </c>
      <c r="Q29" s="10" t="s">
        <v>347</v>
      </c>
      <c r="R29" s="10" t="s">
        <v>347</v>
      </c>
      <c r="S29" s="10" t="s">
        <v>347</v>
      </c>
      <c r="T29" s="10" t="s">
        <v>347</v>
      </c>
      <c r="U29" s="10" t="s">
        <v>347</v>
      </c>
      <c r="V29" s="10" t="s">
        <v>347</v>
      </c>
      <c r="W29" s="10" t="s">
        <v>347</v>
      </c>
      <c r="X29" s="10" t="s">
        <v>347</v>
      </c>
      <c r="Y29" s="10" t="s">
        <v>347</v>
      </c>
      <c r="Z29" s="10" t="s">
        <v>347</v>
      </c>
      <c r="AA29" s="10" t="s">
        <v>347</v>
      </c>
      <c r="AB29" s="10" t="s">
        <v>347</v>
      </c>
      <c r="AC29" s="10" t="s">
        <v>347</v>
      </c>
      <c r="AD29" s="10" t="s">
        <v>347</v>
      </c>
      <c r="AE29" s="10" t="s">
        <v>347</v>
      </c>
      <c r="AF29" s="10" t="s">
        <v>347</v>
      </c>
      <c r="AG29" s="10" t="s">
        <v>347</v>
      </c>
      <c r="AH29" s="10" t="s">
        <v>347</v>
      </c>
      <c r="AI29" s="10" t="s">
        <v>347</v>
      </c>
      <c r="AJ29" s="23" t="s">
        <v>87</v>
      </c>
      <c r="AK29" s="23" t="s">
        <v>87</v>
      </c>
      <c r="AL29" s="23" t="s">
        <v>190</v>
      </c>
      <c r="AM29" s="23" t="s">
        <v>351</v>
      </c>
      <c r="AN29" s="23" t="s">
        <v>190</v>
      </c>
      <c r="AO29" s="23" t="s">
        <v>247</v>
      </c>
      <c r="AP29" s="23" t="s">
        <v>351</v>
      </c>
      <c r="AQ29" s="23" t="s">
        <v>248</v>
      </c>
      <c r="AR29" s="23" t="s">
        <v>198</v>
      </c>
      <c r="AS29" s="23" t="s">
        <v>87</v>
      </c>
      <c r="AT29" s="23" t="s">
        <v>251</v>
      </c>
      <c r="AU29" s="23" t="s">
        <v>253</v>
      </c>
      <c r="AV29" s="23" t="s">
        <v>213</v>
      </c>
      <c r="AW29" s="23" t="s">
        <v>213</v>
      </c>
      <c r="AX29" s="23" t="s">
        <v>213</v>
      </c>
      <c r="AY29" s="23" t="s">
        <v>213</v>
      </c>
      <c r="AZ29" s="23" t="s">
        <v>213</v>
      </c>
      <c r="BA29" s="23" t="s">
        <v>213</v>
      </c>
      <c r="BB29" s="23" t="s">
        <v>213</v>
      </c>
      <c r="BC29" s="23" t="s">
        <v>213</v>
      </c>
      <c r="BD29" s="23" t="s">
        <v>108</v>
      </c>
      <c r="BE29" s="23" t="s">
        <v>253</v>
      </c>
      <c r="BF29" s="23" t="s">
        <v>155</v>
      </c>
      <c r="BG29" s="23" t="s">
        <v>213</v>
      </c>
      <c r="BH29" s="23" t="s">
        <v>213</v>
      </c>
      <c r="BI29" s="23" t="s">
        <v>213</v>
      </c>
      <c r="BJ29" s="23" t="s">
        <v>213</v>
      </c>
      <c r="BK29" s="23" t="s">
        <v>213</v>
      </c>
      <c r="BL29" s="23" t="s">
        <v>213</v>
      </c>
    </row>
    <row r="30" spans="1:64" s="23" customFormat="1" ht="73.150000000000006" customHeight="1" x14ac:dyDescent="0.25">
      <c r="A30" s="57" t="s">
        <v>23</v>
      </c>
      <c r="B30" s="57" t="s">
        <v>13</v>
      </c>
      <c r="C30" s="58" t="s">
        <v>90</v>
      </c>
      <c r="D30" s="58" t="s">
        <v>259</v>
      </c>
      <c r="E30" s="58" t="s">
        <v>258</v>
      </c>
      <c r="F30" s="58" t="s">
        <v>220</v>
      </c>
      <c r="G30" s="58" t="s">
        <v>162</v>
      </c>
      <c r="H30" s="58" t="s">
        <v>221</v>
      </c>
      <c r="I30" s="58" t="s">
        <v>170</v>
      </c>
      <c r="J30" s="58" t="s">
        <v>223</v>
      </c>
      <c r="K30" s="58" t="s">
        <v>173</v>
      </c>
      <c r="L30" s="58" t="s">
        <v>225</v>
      </c>
      <c r="M30" s="58" t="s">
        <v>254</v>
      </c>
      <c r="N30" s="10" t="s">
        <v>227</v>
      </c>
      <c r="O30" s="10" t="s">
        <v>227</v>
      </c>
      <c r="P30" s="10" t="s">
        <v>228</v>
      </c>
      <c r="Q30" s="10" t="s">
        <v>177</v>
      </c>
      <c r="R30" s="10" t="s">
        <v>177</v>
      </c>
      <c r="S30" s="10" t="s">
        <v>177</v>
      </c>
      <c r="T30" s="10" t="s">
        <v>178</v>
      </c>
      <c r="U30" s="10" t="s">
        <v>177</v>
      </c>
      <c r="V30" s="10" t="s">
        <v>232</v>
      </c>
      <c r="W30" s="10" t="s">
        <v>234</v>
      </c>
      <c r="X30" s="10" t="s">
        <v>236</v>
      </c>
      <c r="Y30" s="10" t="s">
        <v>182</v>
      </c>
      <c r="Z30" s="10" t="s">
        <v>180</v>
      </c>
      <c r="AA30" s="10" t="s">
        <v>183</v>
      </c>
      <c r="AB30" s="10" t="s">
        <v>184</v>
      </c>
      <c r="AC30" s="10" t="s">
        <v>182</v>
      </c>
      <c r="AD30" s="10" t="s">
        <v>163</v>
      </c>
      <c r="AE30" s="10" t="s">
        <v>163</v>
      </c>
      <c r="AF30" s="10" t="s">
        <v>163</v>
      </c>
      <c r="AG30" s="10" t="s">
        <v>163</v>
      </c>
      <c r="AH30" s="10" t="s">
        <v>185</v>
      </c>
      <c r="AI30" s="10" t="s">
        <v>240</v>
      </c>
      <c r="AJ30" s="23" t="s">
        <v>97</v>
      </c>
      <c r="AK30" s="23" t="s">
        <v>244</v>
      </c>
      <c r="AL30" s="23" t="s">
        <v>189</v>
      </c>
      <c r="AM30" s="23" t="s">
        <v>191</v>
      </c>
      <c r="AN30" s="23" t="s">
        <v>189</v>
      </c>
      <c r="AO30" s="23" t="s">
        <v>193</v>
      </c>
      <c r="AP30" s="23" t="s">
        <v>194</v>
      </c>
      <c r="AQ30" s="23" t="s">
        <v>255</v>
      </c>
      <c r="AR30" s="23" t="s">
        <v>199</v>
      </c>
      <c r="AS30" s="23" t="s">
        <v>103</v>
      </c>
      <c r="AT30" s="23" t="s">
        <v>252</v>
      </c>
      <c r="AU30" s="23" t="s">
        <v>201</v>
      </c>
      <c r="AV30" s="23" t="s">
        <v>107</v>
      </c>
      <c r="AW30" s="23" t="s">
        <v>107</v>
      </c>
      <c r="AX30" s="23" t="s">
        <v>107</v>
      </c>
      <c r="AY30" s="23" t="s">
        <v>107</v>
      </c>
      <c r="AZ30" s="23" t="s">
        <v>107</v>
      </c>
      <c r="BA30" s="23" t="s">
        <v>266</v>
      </c>
      <c r="BB30" s="23" t="s">
        <v>266</v>
      </c>
      <c r="BC30" s="23" t="s">
        <v>266</v>
      </c>
      <c r="BD30" s="23" t="s">
        <v>208</v>
      </c>
      <c r="BE30" s="23" t="s">
        <v>168</v>
      </c>
      <c r="BF30" s="23" t="s">
        <v>164</v>
      </c>
      <c r="BG30" s="23" t="s">
        <v>211</v>
      </c>
      <c r="BH30" s="23" t="s">
        <v>214</v>
      </c>
      <c r="BI30" s="23" t="s">
        <v>214</v>
      </c>
      <c r="BJ30" s="23" t="s">
        <v>214</v>
      </c>
      <c r="BK30" s="23" t="s">
        <v>214</v>
      </c>
      <c r="BL30" s="23" t="s">
        <v>214</v>
      </c>
    </row>
    <row r="31" spans="1:64" s="23" customFormat="1" ht="73.150000000000006" customHeight="1" x14ac:dyDescent="0.25">
      <c r="A31" s="57" t="s">
        <v>23</v>
      </c>
      <c r="B31" s="57" t="s">
        <v>52</v>
      </c>
      <c r="C31" s="79" t="s">
        <v>24</v>
      </c>
      <c r="D31" s="79" t="s">
        <v>24</v>
      </c>
      <c r="E31" s="79" t="s">
        <v>25</v>
      </c>
      <c r="F31" s="58" t="s">
        <v>261</v>
      </c>
      <c r="G31" s="58" t="s">
        <v>109</v>
      </c>
      <c r="H31" s="58" t="s">
        <v>116</v>
      </c>
      <c r="I31" s="58" t="s">
        <v>262</v>
      </c>
      <c r="J31" s="58" t="s">
        <v>262</v>
      </c>
      <c r="K31" s="58" t="s">
        <v>262</v>
      </c>
      <c r="L31" s="58" t="s">
        <v>262</v>
      </c>
      <c r="M31" s="58" t="s">
        <v>93</v>
      </c>
      <c r="N31" s="10" t="s">
        <v>348</v>
      </c>
      <c r="O31" s="10" t="s">
        <v>269</v>
      </c>
      <c r="P31" s="10" t="s">
        <v>348</v>
      </c>
      <c r="Q31" s="10" t="s">
        <v>349</v>
      </c>
      <c r="R31" s="10" t="s">
        <v>349</v>
      </c>
      <c r="S31" s="10" t="s">
        <v>349</v>
      </c>
      <c r="T31" s="10" t="s">
        <v>349</v>
      </c>
      <c r="U31" s="10" t="s">
        <v>349</v>
      </c>
      <c r="V31" s="10" t="s">
        <v>233</v>
      </c>
      <c r="W31" s="10" t="s">
        <v>235</v>
      </c>
      <c r="X31" s="10" t="s">
        <v>153</v>
      </c>
      <c r="Y31" s="10" t="s">
        <v>182</v>
      </c>
      <c r="Z31" s="10" t="s">
        <v>350</v>
      </c>
      <c r="AA31" s="10" t="s">
        <v>96</v>
      </c>
      <c r="AB31" s="10" t="s">
        <v>184</v>
      </c>
      <c r="AC31" s="10" t="s">
        <v>237</v>
      </c>
      <c r="AD31" s="10" t="s">
        <v>216</v>
      </c>
      <c r="AE31" s="10" t="s">
        <v>216</v>
      </c>
      <c r="AF31" s="10" t="s">
        <v>216</v>
      </c>
      <c r="AG31" s="10" t="s">
        <v>216</v>
      </c>
      <c r="AH31" s="10" t="s">
        <v>124</v>
      </c>
      <c r="AI31" s="10" t="s">
        <v>64</v>
      </c>
      <c r="AJ31" s="47" t="s">
        <v>98</v>
      </c>
      <c r="AK31" s="47" t="s">
        <v>99</v>
      </c>
      <c r="AL31" s="47" t="s">
        <v>100</v>
      </c>
      <c r="AM31" s="47" t="s">
        <v>154</v>
      </c>
      <c r="AN31" s="47" t="s">
        <v>192</v>
      </c>
      <c r="AO31" s="47" t="s">
        <v>101</v>
      </c>
      <c r="AP31" s="47" t="s">
        <v>195</v>
      </c>
      <c r="AQ31" s="47" t="s">
        <v>249</v>
      </c>
      <c r="AR31" s="47" t="s">
        <v>200</v>
      </c>
      <c r="AS31" s="47" t="s">
        <v>104</v>
      </c>
      <c r="AT31" s="23" t="s">
        <v>126</v>
      </c>
      <c r="AU31" s="23" t="s">
        <v>202</v>
      </c>
      <c r="AV31" s="23" t="s">
        <v>203</v>
      </c>
      <c r="AW31" s="23" t="s">
        <v>204</v>
      </c>
      <c r="AX31" s="23" t="s">
        <v>205</v>
      </c>
      <c r="AY31" s="23" t="s">
        <v>205</v>
      </c>
      <c r="AZ31" s="23" t="s">
        <v>206</v>
      </c>
      <c r="BA31" s="23" t="s">
        <v>204</v>
      </c>
      <c r="BB31" s="23" t="s">
        <v>204</v>
      </c>
      <c r="BC31" s="23" t="s">
        <v>204</v>
      </c>
      <c r="BD31" s="23" t="s">
        <v>209</v>
      </c>
      <c r="BE31" s="23" t="s">
        <v>209</v>
      </c>
      <c r="BF31" s="23" t="s">
        <v>210</v>
      </c>
      <c r="BG31" s="23" t="s">
        <v>212</v>
      </c>
      <c r="BH31" s="23" t="s">
        <v>127</v>
      </c>
      <c r="BI31" s="23" t="s">
        <v>204</v>
      </c>
      <c r="BJ31" s="23" t="s">
        <v>114</v>
      </c>
      <c r="BK31" s="23" t="s">
        <v>115</v>
      </c>
      <c r="BL31" s="23" t="s">
        <v>115</v>
      </c>
    </row>
    <row r="32" spans="1:64" s="24" customFormat="1" ht="103.15" customHeight="1" x14ac:dyDescent="0.25">
      <c r="A32" s="53" t="s">
        <v>26</v>
      </c>
      <c r="B32" s="53" t="s">
        <v>12</v>
      </c>
      <c r="C32" s="54" t="s">
        <v>352</v>
      </c>
      <c r="D32" s="54" t="s">
        <v>352</v>
      </c>
      <c r="E32" s="54" t="s">
        <v>352</v>
      </c>
      <c r="F32" s="54" t="s">
        <v>352</v>
      </c>
      <c r="G32" s="54" t="s">
        <v>352</v>
      </c>
      <c r="H32" s="54" t="s">
        <v>352</v>
      </c>
      <c r="I32" s="54" t="s">
        <v>89</v>
      </c>
      <c r="J32" s="54" t="s">
        <v>89</v>
      </c>
      <c r="K32" s="54" t="s">
        <v>89</v>
      </c>
      <c r="L32" s="54" t="s">
        <v>89</v>
      </c>
      <c r="M32" s="80" t="s">
        <v>27</v>
      </c>
      <c r="N32" s="11" t="s">
        <v>344</v>
      </c>
      <c r="O32" s="11" t="s">
        <v>344</v>
      </c>
      <c r="P32" s="11" t="s">
        <v>344</v>
      </c>
      <c r="Q32" s="11" t="s">
        <v>344</v>
      </c>
      <c r="R32" s="11" t="s">
        <v>345</v>
      </c>
      <c r="S32" s="11" t="s">
        <v>345</v>
      </c>
      <c r="T32" s="11" t="s">
        <v>345</v>
      </c>
      <c r="U32" s="11" t="s">
        <v>345</v>
      </c>
      <c r="V32" s="11" t="s">
        <v>345</v>
      </c>
      <c r="W32" s="11" t="s">
        <v>345</v>
      </c>
      <c r="X32" s="11" t="s">
        <v>344</v>
      </c>
      <c r="Y32" s="11" t="s">
        <v>344</v>
      </c>
      <c r="Z32" s="11" t="s">
        <v>344</v>
      </c>
      <c r="AA32" s="11" t="s">
        <v>344</v>
      </c>
      <c r="AB32" s="11" t="s">
        <v>344</v>
      </c>
      <c r="AC32" s="11" t="s">
        <v>344</v>
      </c>
      <c r="AD32" s="11" t="s">
        <v>344</v>
      </c>
      <c r="AE32" s="11" t="s">
        <v>344</v>
      </c>
      <c r="AF32" s="11" t="s">
        <v>344</v>
      </c>
      <c r="AG32" s="11" t="s">
        <v>344</v>
      </c>
      <c r="AH32" s="11" t="s">
        <v>344</v>
      </c>
      <c r="AI32" s="11" t="s">
        <v>344</v>
      </c>
      <c r="AJ32" s="24" t="s">
        <v>241</v>
      </c>
      <c r="AK32" s="24" t="s">
        <v>243</v>
      </c>
      <c r="AL32" s="24" t="s">
        <v>245</v>
      </c>
      <c r="AM32" s="24" t="s">
        <v>144</v>
      </c>
      <c r="AN32" s="24" t="s">
        <v>245</v>
      </c>
      <c r="AO32" s="24" t="s">
        <v>247</v>
      </c>
      <c r="AP32" s="24" t="s">
        <v>125</v>
      </c>
      <c r="AQ32" s="24" t="s">
        <v>248</v>
      </c>
      <c r="AR32" s="24" t="s">
        <v>198</v>
      </c>
      <c r="AS32" s="24" t="s">
        <v>243</v>
      </c>
      <c r="AT32" s="24" t="s">
        <v>251</v>
      </c>
      <c r="AU32" s="24" t="s">
        <v>253</v>
      </c>
      <c r="AV32" s="24" t="s">
        <v>265</v>
      </c>
      <c r="AW32" s="24" t="s">
        <v>265</v>
      </c>
      <c r="AX32" s="24" t="s">
        <v>265</v>
      </c>
      <c r="AY32" s="24" t="s">
        <v>265</v>
      </c>
      <c r="AZ32" s="24" t="s">
        <v>265</v>
      </c>
      <c r="BA32" s="24" t="s">
        <v>265</v>
      </c>
      <c r="BB32" s="24" t="s">
        <v>265</v>
      </c>
      <c r="BC32" s="24" t="s">
        <v>265</v>
      </c>
      <c r="BD32" s="24" t="s">
        <v>217</v>
      </c>
      <c r="BE32" s="24" t="s">
        <v>253</v>
      </c>
      <c r="BF32" s="24" t="s">
        <v>267</v>
      </c>
      <c r="BG32" s="24" t="s">
        <v>265</v>
      </c>
      <c r="BH32" s="24" t="s">
        <v>265</v>
      </c>
      <c r="BI32" s="24" t="s">
        <v>265</v>
      </c>
      <c r="BJ32" s="24" t="s">
        <v>265</v>
      </c>
      <c r="BK32" s="24" t="s">
        <v>265</v>
      </c>
      <c r="BL32" s="24" t="s">
        <v>265</v>
      </c>
    </row>
    <row r="33" spans="1:64" s="24" customFormat="1" ht="73.150000000000006" customHeight="1" x14ac:dyDescent="0.25">
      <c r="A33" s="53" t="s">
        <v>26</v>
      </c>
      <c r="B33" s="53" t="s">
        <v>13</v>
      </c>
      <c r="C33" s="54" t="s">
        <v>90</v>
      </c>
      <c r="D33" s="54" t="s">
        <v>259</v>
      </c>
      <c r="E33" s="54" t="s">
        <v>258</v>
      </c>
      <c r="F33" s="54" t="s">
        <v>220</v>
      </c>
      <c r="G33" s="54" t="s">
        <v>162</v>
      </c>
      <c r="H33" s="54" t="s">
        <v>326</v>
      </c>
      <c r="I33" s="54" t="s">
        <v>170</v>
      </c>
      <c r="J33" s="54" t="s">
        <v>223</v>
      </c>
      <c r="K33" s="54" t="s">
        <v>173</v>
      </c>
      <c r="L33" s="54" t="s">
        <v>225</v>
      </c>
      <c r="M33" s="11" t="s">
        <v>254</v>
      </c>
      <c r="N33" s="11" t="s">
        <v>227</v>
      </c>
      <c r="O33" s="11" t="s">
        <v>227</v>
      </c>
      <c r="P33" s="11" t="s">
        <v>228</v>
      </c>
      <c r="Q33" s="11" t="s">
        <v>177</v>
      </c>
      <c r="R33" s="11" t="s">
        <v>177</v>
      </c>
      <c r="S33" s="11" t="s">
        <v>177</v>
      </c>
      <c r="T33" s="11" t="s">
        <v>178</v>
      </c>
      <c r="U33" s="11" t="s">
        <v>177</v>
      </c>
      <c r="V33" s="11" t="s">
        <v>232</v>
      </c>
      <c r="W33" s="11" t="s">
        <v>234</v>
      </c>
      <c r="X33" s="11" t="s">
        <v>236</v>
      </c>
      <c r="Y33" s="11" t="s">
        <v>182</v>
      </c>
      <c r="Z33" s="11" t="s">
        <v>180</v>
      </c>
      <c r="AA33" s="11" t="s">
        <v>183</v>
      </c>
      <c r="AB33" s="11" t="s">
        <v>184</v>
      </c>
      <c r="AC33" s="11" t="s">
        <v>182</v>
      </c>
      <c r="AD33" s="11" t="s">
        <v>163</v>
      </c>
      <c r="AE33" s="11" t="s">
        <v>163</v>
      </c>
      <c r="AF33" s="11" t="s">
        <v>163</v>
      </c>
      <c r="AG33" s="11" t="s">
        <v>163</v>
      </c>
      <c r="AH33" s="11" t="s">
        <v>185</v>
      </c>
      <c r="AI33" s="11" t="s">
        <v>240</v>
      </c>
      <c r="AJ33" s="24" t="s">
        <v>97</v>
      </c>
      <c r="AK33" s="24" t="s">
        <v>244</v>
      </c>
      <c r="AL33" s="24" t="s">
        <v>189</v>
      </c>
      <c r="AM33" s="24" t="s">
        <v>191</v>
      </c>
      <c r="AN33" s="24" t="s">
        <v>189</v>
      </c>
      <c r="AO33" s="24" t="s">
        <v>193</v>
      </c>
      <c r="AP33" s="24" t="s">
        <v>194</v>
      </c>
      <c r="AQ33" s="24" t="s">
        <v>255</v>
      </c>
      <c r="AR33" s="24" t="s">
        <v>199</v>
      </c>
      <c r="AS33" s="24" t="s">
        <v>103</v>
      </c>
      <c r="AT33" s="24" t="s">
        <v>252</v>
      </c>
      <c r="AU33" s="24" t="s">
        <v>201</v>
      </c>
      <c r="AV33" s="24" t="s">
        <v>107</v>
      </c>
      <c r="AW33" s="24" t="s">
        <v>107</v>
      </c>
      <c r="AX33" s="24" t="s">
        <v>107</v>
      </c>
      <c r="AY33" s="24" t="s">
        <v>107</v>
      </c>
      <c r="AZ33" s="24" t="s">
        <v>107</v>
      </c>
      <c r="BA33" s="24" t="s">
        <v>266</v>
      </c>
      <c r="BB33" s="24" t="s">
        <v>266</v>
      </c>
      <c r="BC33" s="24" t="s">
        <v>266</v>
      </c>
      <c r="BD33" s="24" t="s">
        <v>208</v>
      </c>
      <c r="BE33" s="24" t="s">
        <v>168</v>
      </c>
      <c r="BF33" s="24" t="s">
        <v>164</v>
      </c>
      <c r="BG33" s="24" t="s">
        <v>211</v>
      </c>
      <c r="BH33" s="24" t="s">
        <v>214</v>
      </c>
      <c r="BI33" s="24" t="s">
        <v>214</v>
      </c>
      <c r="BJ33" s="24" t="s">
        <v>214</v>
      </c>
      <c r="BK33" s="24" t="s">
        <v>214</v>
      </c>
      <c r="BL33" s="24" t="s">
        <v>214</v>
      </c>
    </row>
    <row r="34" spans="1:64" s="24" customFormat="1" ht="73.150000000000006" customHeight="1" x14ac:dyDescent="0.25">
      <c r="A34" s="53" t="s">
        <v>26</v>
      </c>
      <c r="B34" s="53" t="s">
        <v>52</v>
      </c>
      <c r="C34" s="54" t="s">
        <v>323</v>
      </c>
      <c r="D34" s="54" t="s">
        <v>264</v>
      </c>
      <c r="E34" s="54" t="s">
        <v>218</v>
      </c>
      <c r="F34" s="54" t="s">
        <v>116</v>
      </c>
      <c r="G34" s="54" t="s">
        <v>109</v>
      </c>
      <c r="H34" s="54" t="s">
        <v>116</v>
      </c>
      <c r="I34" s="54" t="s">
        <v>262</v>
      </c>
      <c r="J34" s="54" t="s">
        <v>262</v>
      </c>
      <c r="K34" s="54" t="s">
        <v>262</v>
      </c>
      <c r="L34" s="54" t="s">
        <v>262</v>
      </c>
      <c r="M34" s="54" t="s">
        <v>93</v>
      </c>
      <c r="N34" s="11" t="s">
        <v>353</v>
      </c>
      <c r="O34" s="11" t="s">
        <v>269</v>
      </c>
      <c r="P34" s="11" t="s">
        <v>269</v>
      </c>
      <c r="Q34" s="11" t="s">
        <v>354</v>
      </c>
      <c r="R34" s="11" t="s">
        <v>355</v>
      </c>
      <c r="S34" s="11" t="s">
        <v>356</v>
      </c>
      <c r="T34" s="11" t="s">
        <v>355</v>
      </c>
      <c r="U34" s="11" t="s">
        <v>354</v>
      </c>
      <c r="V34" s="11" t="s">
        <v>233</v>
      </c>
      <c r="W34" s="11" t="s">
        <v>148</v>
      </c>
      <c r="X34" s="11" t="s">
        <v>123</v>
      </c>
      <c r="Y34" s="11" t="s">
        <v>182</v>
      </c>
      <c r="Z34" s="11" t="s">
        <v>123</v>
      </c>
      <c r="AA34" s="11" t="s">
        <v>151</v>
      </c>
      <c r="AB34" s="11" t="s">
        <v>184</v>
      </c>
      <c r="AC34" s="11" t="s">
        <v>156</v>
      </c>
      <c r="AD34" s="11" t="s">
        <v>354</v>
      </c>
      <c r="AE34" s="11" t="s">
        <v>356</v>
      </c>
      <c r="AF34" s="11" t="s">
        <v>354</v>
      </c>
      <c r="AG34" s="11" t="s">
        <v>355</v>
      </c>
      <c r="AH34" s="11" t="s">
        <v>124</v>
      </c>
      <c r="AI34" s="11" t="s">
        <v>357</v>
      </c>
      <c r="AJ34" s="48" t="s">
        <v>242</v>
      </c>
      <c r="AK34" s="48" t="s">
        <v>242</v>
      </c>
      <c r="AL34" s="48" t="s">
        <v>100</v>
      </c>
      <c r="AM34" s="48" t="s">
        <v>100</v>
      </c>
      <c r="AN34" s="48" t="s">
        <v>192</v>
      </c>
      <c r="AO34" s="48" t="s">
        <v>102</v>
      </c>
      <c r="AP34" s="48" t="s">
        <v>195</v>
      </c>
      <c r="AQ34" s="48" t="s">
        <v>249</v>
      </c>
      <c r="AR34" s="48" t="s">
        <v>200</v>
      </c>
      <c r="AS34" s="48" t="s">
        <v>104</v>
      </c>
      <c r="AT34" s="24" t="s">
        <v>126</v>
      </c>
      <c r="AU34" s="24" t="s">
        <v>202</v>
      </c>
      <c r="AV34" s="24" t="s">
        <v>127</v>
      </c>
      <c r="AW34" s="24" t="s">
        <v>127</v>
      </c>
      <c r="AX34" s="24" t="s">
        <v>127</v>
      </c>
      <c r="AY34" s="24" t="s">
        <v>127</v>
      </c>
      <c r="AZ34" s="24" t="s">
        <v>127</v>
      </c>
      <c r="BA34" s="24" t="s">
        <v>127</v>
      </c>
      <c r="BB34" s="24" t="s">
        <v>127</v>
      </c>
      <c r="BC34" s="24" t="s">
        <v>127</v>
      </c>
      <c r="BD34" s="24" t="s">
        <v>209</v>
      </c>
      <c r="BE34" s="24" t="s">
        <v>209</v>
      </c>
      <c r="BF34" s="24" t="s">
        <v>210</v>
      </c>
      <c r="BG34" s="24" t="s">
        <v>212</v>
      </c>
      <c r="BH34" s="24" t="s">
        <v>127</v>
      </c>
      <c r="BI34" s="24" t="s">
        <v>137</v>
      </c>
      <c r="BJ34" s="24" t="s">
        <v>127</v>
      </c>
      <c r="BK34" s="24" t="s">
        <v>127</v>
      </c>
      <c r="BL34" s="24" t="s">
        <v>127</v>
      </c>
    </row>
    <row r="35" spans="1:64" s="25" customFormat="1" ht="103.15" customHeight="1" x14ac:dyDescent="0.25">
      <c r="A35" s="55" t="s">
        <v>28</v>
      </c>
      <c r="B35" s="55" t="s">
        <v>12</v>
      </c>
      <c r="C35" s="56" t="s">
        <v>94</v>
      </c>
      <c r="D35" s="56" t="s">
        <v>94</v>
      </c>
      <c r="E35" s="56" t="s">
        <v>94</v>
      </c>
      <c r="F35" s="56" t="s">
        <v>94</v>
      </c>
      <c r="G35" s="56" t="s">
        <v>94</v>
      </c>
      <c r="H35" s="56" t="s">
        <v>94</v>
      </c>
      <c r="I35" s="56" t="s">
        <v>89</v>
      </c>
      <c r="J35" s="56" t="s">
        <v>89</v>
      </c>
      <c r="K35" s="56" t="s">
        <v>89</v>
      </c>
      <c r="L35" s="56" t="s">
        <v>89</v>
      </c>
      <c r="M35" s="56" t="s">
        <v>94</v>
      </c>
      <c r="N35" s="12" t="s">
        <v>359</v>
      </c>
      <c r="O35" s="12" t="s">
        <v>359</v>
      </c>
      <c r="P35" s="12" t="s">
        <v>359</v>
      </c>
      <c r="Q35" s="12" t="s">
        <v>360</v>
      </c>
      <c r="R35" s="12" t="s">
        <v>361</v>
      </c>
      <c r="S35" s="12" t="s">
        <v>361</v>
      </c>
      <c r="T35" s="12" t="s">
        <v>361</v>
      </c>
      <c r="U35" s="12" t="s">
        <v>361</v>
      </c>
      <c r="V35" s="12" t="s">
        <v>361</v>
      </c>
      <c r="W35" s="12" t="s">
        <v>361</v>
      </c>
      <c r="X35" s="12" t="s">
        <v>362</v>
      </c>
      <c r="Y35" s="12" t="s">
        <v>362</v>
      </c>
      <c r="Z35" s="12" t="s">
        <v>362</v>
      </c>
      <c r="AA35" s="12" t="s">
        <v>362</v>
      </c>
      <c r="AB35" s="12" t="s">
        <v>131</v>
      </c>
      <c r="AC35" s="12" t="s">
        <v>362</v>
      </c>
      <c r="AD35" s="12" t="s">
        <v>363</v>
      </c>
      <c r="AE35" s="12" t="s">
        <v>364</v>
      </c>
      <c r="AF35" s="12" t="s">
        <v>363</v>
      </c>
      <c r="AG35" s="12" t="s">
        <v>363</v>
      </c>
      <c r="AH35" s="12" t="s">
        <v>359</v>
      </c>
      <c r="AI35" s="12" t="s">
        <v>360</v>
      </c>
      <c r="AJ35" s="25" t="s">
        <v>279</v>
      </c>
      <c r="AK35" s="25" t="s">
        <v>135</v>
      </c>
      <c r="AL35" s="25" t="s">
        <v>282</v>
      </c>
      <c r="AM35" s="25" t="s">
        <v>136</v>
      </c>
      <c r="AN35" s="25" t="s">
        <v>282</v>
      </c>
      <c r="AO35" s="25" t="s">
        <v>247</v>
      </c>
      <c r="AP35" s="25" t="s">
        <v>256</v>
      </c>
      <c r="AQ35" s="25" t="s">
        <v>248</v>
      </c>
      <c r="AR35" s="25" t="s">
        <v>198</v>
      </c>
      <c r="AS35" s="25" t="s">
        <v>135</v>
      </c>
      <c r="AT35" s="25" t="s">
        <v>251</v>
      </c>
      <c r="AU35" s="25" t="s">
        <v>253</v>
      </c>
      <c r="AV35" s="25" t="s">
        <v>286</v>
      </c>
      <c r="AW35" s="25" t="s">
        <v>286</v>
      </c>
      <c r="AX35" s="25" t="s">
        <v>286</v>
      </c>
      <c r="AY35" s="25" t="s">
        <v>286</v>
      </c>
      <c r="AZ35" s="25" t="s">
        <v>286</v>
      </c>
      <c r="BA35" s="25" t="s">
        <v>286</v>
      </c>
      <c r="BB35" s="25" t="s">
        <v>286</v>
      </c>
      <c r="BC35" s="25" t="s">
        <v>286</v>
      </c>
      <c r="BD35" s="25" t="s">
        <v>138</v>
      </c>
      <c r="BE35" s="25" t="s">
        <v>253</v>
      </c>
      <c r="BF35" s="25" t="s">
        <v>288</v>
      </c>
      <c r="BG35" s="25" t="s">
        <v>286</v>
      </c>
      <c r="BH35" s="25" t="s">
        <v>286</v>
      </c>
      <c r="BI35" s="25" t="s">
        <v>286</v>
      </c>
      <c r="BJ35" s="25" t="s">
        <v>286</v>
      </c>
      <c r="BK35" s="25" t="s">
        <v>286</v>
      </c>
      <c r="BL35" s="25" t="s">
        <v>286</v>
      </c>
    </row>
    <row r="36" spans="1:64" s="25" customFormat="1" ht="73.150000000000006" customHeight="1" x14ac:dyDescent="0.25">
      <c r="A36" s="55" t="s">
        <v>28</v>
      </c>
      <c r="B36" s="55" t="s">
        <v>13</v>
      </c>
      <c r="C36" s="56" t="s">
        <v>90</v>
      </c>
      <c r="D36" s="56" t="s">
        <v>259</v>
      </c>
      <c r="E36" s="56" t="s">
        <v>258</v>
      </c>
      <c r="F36" s="56" t="s">
        <v>220</v>
      </c>
      <c r="G36" s="56" t="s">
        <v>162</v>
      </c>
      <c r="H36" s="56" t="s">
        <v>326</v>
      </c>
      <c r="I36" s="56" t="s">
        <v>170</v>
      </c>
      <c r="J36" s="56" t="s">
        <v>223</v>
      </c>
      <c r="K36" s="56" t="s">
        <v>173</v>
      </c>
      <c r="L36" s="56" t="s">
        <v>225</v>
      </c>
      <c r="M36" s="56" t="s">
        <v>254</v>
      </c>
      <c r="N36" s="12" t="s">
        <v>227</v>
      </c>
      <c r="O36" s="12" t="s">
        <v>227</v>
      </c>
      <c r="P36" s="12" t="s">
        <v>228</v>
      </c>
      <c r="Q36" s="12" t="s">
        <v>177</v>
      </c>
      <c r="R36" s="12" t="s">
        <v>177</v>
      </c>
      <c r="S36" s="12" t="s">
        <v>177</v>
      </c>
      <c r="T36" s="12" t="s">
        <v>178</v>
      </c>
      <c r="U36" s="12" t="s">
        <v>177</v>
      </c>
      <c r="V36" s="12" t="s">
        <v>232</v>
      </c>
      <c r="W36" s="12" t="s">
        <v>234</v>
      </c>
      <c r="X36" s="12" t="s">
        <v>236</v>
      </c>
      <c r="Y36" s="12" t="s">
        <v>182</v>
      </c>
      <c r="Z36" s="12" t="s">
        <v>180</v>
      </c>
      <c r="AA36" s="12" t="s">
        <v>183</v>
      </c>
      <c r="AB36" s="12" t="s">
        <v>184</v>
      </c>
      <c r="AC36" s="12" t="s">
        <v>182</v>
      </c>
      <c r="AD36" s="12" t="s">
        <v>163</v>
      </c>
      <c r="AE36" s="12" t="s">
        <v>163</v>
      </c>
      <c r="AF36" s="12" t="s">
        <v>163</v>
      </c>
      <c r="AG36" s="12" t="s">
        <v>163</v>
      </c>
      <c r="AH36" s="12" t="s">
        <v>185</v>
      </c>
      <c r="AI36" s="12" t="s">
        <v>240</v>
      </c>
      <c r="AJ36" s="25" t="s">
        <v>97</v>
      </c>
      <c r="AK36" s="25" t="s">
        <v>244</v>
      </c>
      <c r="AL36" s="25" t="s">
        <v>189</v>
      </c>
      <c r="AM36" s="25" t="s">
        <v>191</v>
      </c>
      <c r="AN36" s="25" t="s">
        <v>189</v>
      </c>
      <c r="AO36" s="25" t="s">
        <v>193</v>
      </c>
      <c r="AP36" s="25" t="s">
        <v>194</v>
      </c>
      <c r="AQ36" s="25" t="s">
        <v>255</v>
      </c>
      <c r="AR36" s="25" t="s">
        <v>199</v>
      </c>
      <c r="AS36" s="25" t="s">
        <v>103</v>
      </c>
      <c r="AT36" s="25" t="s">
        <v>252</v>
      </c>
      <c r="AU36" s="25" t="s">
        <v>201</v>
      </c>
      <c r="AV36" s="25" t="s">
        <v>107</v>
      </c>
      <c r="AW36" s="25" t="s">
        <v>107</v>
      </c>
      <c r="AX36" s="25" t="s">
        <v>107</v>
      </c>
      <c r="AY36" s="25" t="s">
        <v>107</v>
      </c>
      <c r="AZ36" s="25" t="s">
        <v>107</v>
      </c>
      <c r="BA36" s="25" t="s">
        <v>266</v>
      </c>
      <c r="BB36" s="25" t="s">
        <v>266</v>
      </c>
      <c r="BC36" s="25" t="s">
        <v>266</v>
      </c>
      <c r="BD36" s="25" t="s">
        <v>208</v>
      </c>
      <c r="BE36" s="25" t="s">
        <v>168</v>
      </c>
      <c r="BF36" s="25" t="s">
        <v>164</v>
      </c>
      <c r="BG36" s="25" t="s">
        <v>211</v>
      </c>
      <c r="BH36" s="25" t="s">
        <v>214</v>
      </c>
      <c r="BI36" s="25" t="s">
        <v>214</v>
      </c>
      <c r="BJ36" s="25" t="s">
        <v>214</v>
      </c>
      <c r="BK36" s="25" t="s">
        <v>214</v>
      </c>
      <c r="BL36" s="25" t="s">
        <v>214</v>
      </c>
    </row>
    <row r="37" spans="1:64" s="25" customFormat="1" ht="73.150000000000006" customHeight="1" x14ac:dyDescent="0.25">
      <c r="A37" s="55" t="s">
        <v>28</v>
      </c>
      <c r="B37" s="55" t="s">
        <v>52</v>
      </c>
      <c r="C37" s="56" t="s">
        <v>128</v>
      </c>
      <c r="D37" s="56" t="s">
        <v>303</v>
      </c>
      <c r="E37" s="56" t="s">
        <v>305</v>
      </c>
      <c r="F37" s="56" t="s">
        <v>91</v>
      </c>
      <c r="G37" s="56" t="s">
        <v>109</v>
      </c>
      <c r="H37" s="56" t="s">
        <v>92</v>
      </c>
      <c r="I37" s="56" t="s">
        <v>262</v>
      </c>
      <c r="J37" s="56" t="s">
        <v>117</v>
      </c>
      <c r="K37" s="56" t="s">
        <v>262</v>
      </c>
      <c r="L37" s="56" t="s">
        <v>262</v>
      </c>
      <c r="M37" s="56" t="s">
        <v>93</v>
      </c>
      <c r="N37" s="12" t="s">
        <v>318</v>
      </c>
      <c r="O37" s="12" t="s">
        <v>269</v>
      </c>
      <c r="P37" s="12" t="s">
        <v>269</v>
      </c>
      <c r="Q37" s="12" t="s">
        <v>272</v>
      </c>
      <c r="R37" s="12" t="s">
        <v>272</v>
      </c>
      <c r="S37" s="12" t="s">
        <v>272</v>
      </c>
      <c r="T37" s="12" t="s">
        <v>272</v>
      </c>
      <c r="U37" s="12" t="s">
        <v>272</v>
      </c>
      <c r="V37" s="12" t="s">
        <v>233</v>
      </c>
      <c r="W37" s="12" t="s">
        <v>273</v>
      </c>
      <c r="X37" s="12" t="s">
        <v>130</v>
      </c>
      <c r="Y37" s="12" t="s">
        <v>182</v>
      </c>
      <c r="Z37" s="12" t="s">
        <v>130</v>
      </c>
      <c r="AA37" s="12" t="s">
        <v>130</v>
      </c>
      <c r="AB37" s="12" t="s">
        <v>184</v>
      </c>
      <c r="AC37" s="12" t="s">
        <v>237</v>
      </c>
      <c r="AD37" s="12" t="s">
        <v>365</v>
      </c>
      <c r="AE37" s="12" t="s">
        <v>365</v>
      </c>
      <c r="AF37" s="12" t="s">
        <v>365</v>
      </c>
      <c r="AG37" s="12" t="s">
        <v>365</v>
      </c>
      <c r="AH37" s="12" t="s">
        <v>157</v>
      </c>
      <c r="AI37" s="12" t="s">
        <v>357</v>
      </c>
      <c r="AJ37" s="49" t="s">
        <v>280</v>
      </c>
      <c r="AK37" s="49" t="s">
        <v>281</v>
      </c>
      <c r="AL37" s="49" t="s">
        <v>283</v>
      </c>
      <c r="AM37" s="49" t="s">
        <v>283</v>
      </c>
      <c r="AN37" s="49" t="s">
        <v>192</v>
      </c>
      <c r="AO37" s="49" t="s">
        <v>101</v>
      </c>
      <c r="AP37" s="49" t="s">
        <v>195</v>
      </c>
      <c r="AQ37" s="49" t="s">
        <v>249</v>
      </c>
      <c r="AR37" s="49" t="s">
        <v>200</v>
      </c>
      <c r="AS37" s="49" t="s">
        <v>104</v>
      </c>
      <c r="AT37" s="25" t="s">
        <v>126</v>
      </c>
      <c r="AU37" s="25" t="s">
        <v>202</v>
      </c>
      <c r="AV37" s="25" t="s">
        <v>287</v>
      </c>
      <c r="AW37" s="25" t="s">
        <v>137</v>
      </c>
      <c r="AX37" s="25" t="s">
        <v>287</v>
      </c>
      <c r="AY37" s="25" t="s">
        <v>287</v>
      </c>
      <c r="AZ37" s="25" t="s">
        <v>287</v>
      </c>
      <c r="BA37" s="25" t="s">
        <v>137</v>
      </c>
      <c r="BB37" s="25" t="s">
        <v>137</v>
      </c>
      <c r="BC37" s="25" t="s">
        <v>137</v>
      </c>
      <c r="BD37" s="25" t="s">
        <v>209</v>
      </c>
      <c r="BE37" s="25" t="s">
        <v>209</v>
      </c>
      <c r="BF37" s="25" t="s">
        <v>210</v>
      </c>
      <c r="BG37" s="25" t="s">
        <v>289</v>
      </c>
      <c r="BH37" s="25" t="s">
        <v>127</v>
      </c>
      <c r="BI37" s="25" t="s">
        <v>137</v>
      </c>
      <c r="BJ37" s="25" t="s">
        <v>287</v>
      </c>
      <c r="BK37" s="25" t="s">
        <v>290</v>
      </c>
      <c r="BL37" s="25" t="s">
        <v>290</v>
      </c>
    </row>
    <row r="38" spans="1:64" s="26" customFormat="1" ht="73.150000000000006" customHeight="1" x14ac:dyDescent="0.25">
      <c r="A38" s="51" t="s">
        <v>29</v>
      </c>
      <c r="B38" s="51" t="s">
        <v>12</v>
      </c>
      <c r="C38" s="52" t="s">
        <v>263</v>
      </c>
      <c r="D38" s="52" t="s">
        <v>263</v>
      </c>
      <c r="E38" s="52" t="s">
        <v>263</v>
      </c>
      <c r="F38" s="52" t="s">
        <v>263</v>
      </c>
      <c r="G38" s="52" t="s">
        <v>263</v>
      </c>
      <c r="H38" s="52" t="s">
        <v>263</v>
      </c>
      <c r="I38" s="52" t="s">
        <v>89</v>
      </c>
      <c r="J38" s="52" t="s">
        <v>89</v>
      </c>
      <c r="K38" s="52" t="s">
        <v>89</v>
      </c>
      <c r="L38" s="52" t="s">
        <v>89</v>
      </c>
      <c r="M38" s="52" t="s">
        <v>263</v>
      </c>
      <c r="N38" s="13" t="s">
        <v>131</v>
      </c>
      <c r="O38" s="13" t="s">
        <v>131</v>
      </c>
      <c r="P38" s="13" t="s">
        <v>131</v>
      </c>
      <c r="Q38" s="13" t="s">
        <v>129</v>
      </c>
      <c r="R38" s="13" t="s">
        <v>131</v>
      </c>
      <c r="S38" s="13" t="s">
        <v>131</v>
      </c>
      <c r="T38" s="13" t="s">
        <v>131</v>
      </c>
      <c r="U38" s="13" t="s">
        <v>131</v>
      </c>
      <c r="V38" s="13" t="s">
        <v>131</v>
      </c>
      <c r="W38" s="13" t="s">
        <v>131</v>
      </c>
      <c r="X38" s="13" t="s">
        <v>131</v>
      </c>
      <c r="Y38" s="13" t="s">
        <v>131</v>
      </c>
      <c r="Z38" s="13" t="s">
        <v>131</v>
      </c>
      <c r="AA38" s="13" t="s">
        <v>131</v>
      </c>
      <c r="AB38" s="13" t="s">
        <v>131</v>
      </c>
      <c r="AC38" s="13" t="s">
        <v>131</v>
      </c>
      <c r="AD38" s="13" t="s">
        <v>131</v>
      </c>
      <c r="AE38" s="13" t="s">
        <v>131</v>
      </c>
      <c r="AF38" s="13" t="s">
        <v>131</v>
      </c>
      <c r="AG38" s="13" t="s">
        <v>131</v>
      </c>
      <c r="AH38" s="13" t="s">
        <v>131</v>
      </c>
      <c r="AI38" s="13" t="s">
        <v>129</v>
      </c>
      <c r="AJ38" s="26" t="s">
        <v>241</v>
      </c>
      <c r="AK38" s="26" t="s">
        <v>135</v>
      </c>
      <c r="AL38" s="26" t="s">
        <v>282</v>
      </c>
      <c r="AM38" s="26" t="s">
        <v>160</v>
      </c>
      <c r="AN38" s="26" t="s">
        <v>282</v>
      </c>
      <c r="AO38" s="26" t="s">
        <v>247</v>
      </c>
      <c r="AP38" s="26" t="s">
        <v>367</v>
      </c>
      <c r="AQ38" s="26" t="s">
        <v>248</v>
      </c>
      <c r="AR38" s="26" t="s">
        <v>198</v>
      </c>
      <c r="AS38" s="26" t="s">
        <v>135</v>
      </c>
      <c r="AT38" s="26" t="s">
        <v>251</v>
      </c>
      <c r="AU38" s="26" t="s">
        <v>253</v>
      </c>
      <c r="AV38" s="26" t="s">
        <v>314</v>
      </c>
      <c r="AW38" s="26" t="s">
        <v>314</v>
      </c>
      <c r="AX38" s="26" t="s">
        <v>314</v>
      </c>
      <c r="AY38" s="26" t="s">
        <v>314</v>
      </c>
      <c r="AZ38" s="26" t="s">
        <v>314</v>
      </c>
      <c r="BA38" s="26" t="s">
        <v>314</v>
      </c>
      <c r="BB38" s="26" t="s">
        <v>314</v>
      </c>
      <c r="BC38" s="26" t="s">
        <v>314</v>
      </c>
      <c r="BD38" s="26" t="s">
        <v>302</v>
      </c>
      <c r="BE38" s="26" t="s">
        <v>253</v>
      </c>
      <c r="BF38" s="26" t="s">
        <v>288</v>
      </c>
      <c r="BG38" s="26" t="s">
        <v>314</v>
      </c>
      <c r="BH38" s="26" t="s">
        <v>314</v>
      </c>
      <c r="BI38" s="26" t="s">
        <v>314</v>
      </c>
      <c r="BJ38" s="26" t="s">
        <v>314</v>
      </c>
      <c r="BK38" s="26" t="s">
        <v>314</v>
      </c>
      <c r="BL38" s="26" t="s">
        <v>314</v>
      </c>
    </row>
    <row r="39" spans="1:64" s="26" customFormat="1" ht="73.150000000000006" customHeight="1" x14ac:dyDescent="0.25">
      <c r="A39" s="51" t="s">
        <v>29</v>
      </c>
      <c r="B39" s="51" t="s">
        <v>13</v>
      </c>
      <c r="C39" s="52" t="s">
        <v>90</v>
      </c>
      <c r="D39" s="52" t="s">
        <v>259</v>
      </c>
      <c r="E39" s="52" t="s">
        <v>258</v>
      </c>
      <c r="F39" s="52" t="s">
        <v>220</v>
      </c>
      <c r="G39" s="52" t="s">
        <v>162</v>
      </c>
      <c r="H39" s="52" t="s">
        <v>326</v>
      </c>
      <c r="I39" s="52" t="s">
        <v>170</v>
      </c>
      <c r="J39" s="52" t="s">
        <v>223</v>
      </c>
      <c r="K39" s="52" t="s">
        <v>173</v>
      </c>
      <c r="L39" s="52" t="s">
        <v>225</v>
      </c>
      <c r="M39" s="52" t="s">
        <v>254</v>
      </c>
      <c r="N39" s="13" t="s">
        <v>227</v>
      </c>
      <c r="O39" s="13" t="s">
        <v>227</v>
      </c>
      <c r="P39" s="13" t="s">
        <v>228</v>
      </c>
      <c r="Q39" s="13" t="s">
        <v>177</v>
      </c>
      <c r="R39" s="13" t="s">
        <v>177</v>
      </c>
      <c r="S39" s="13" t="s">
        <v>177</v>
      </c>
      <c r="T39" s="13" t="s">
        <v>178</v>
      </c>
      <c r="U39" s="13" t="s">
        <v>177</v>
      </c>
      <c r="V39" s="13" t="s">
        <v>232</v>
      </c>
      <c r="W39" s="13" t="s">
        <v>234</v>
      </c>
      <c r="X39" s="13" t="s">
        <v>236</v>
      </c>
      <c r="Y39" s="13" t="s">
        <v>182</v>
      </c>
      <c r="Z39" s="13" t="s">
        <v>180</v>
      </c>
      <c r="AA39" s="13" t="s">
        <v>183</v>
      </c>
      <c r="AB39" s="13" t="s">
        <v>184</v>
      </c>
      <c r="AC39" s="13" t="s">
        <v>182</v>
      </c>
      <c r="AD39" s="13" t="s">
        <v>163</v>
      </c>
      <c r="AE39" s="13" t="s">
        <v>163</v>
      </c>
      <c r="AF39" s="13" t="s">
        <v>163</v>
      </c>
      <c r="AG39" s="13" t="s">
        <v>163</v>
      </c>
      <c r="AH39" s="13" t="s">
        <v>185</v>
      </c>
      <c r="AI39" s="13" t="s">
        <v>240</v>
      </c>
      <c r="AJ39" s="26" t="s">
        <v>97</v>
      </c>
      <c r="AK39" s="26" t="s">
        <v>244</v>
      </c>
      <c r="AL39" s="26" t="s">
        <v>189</v>
      </c>
      <c r="AM39" s="26" t="s">
        <v>191</v>
      </c>
      <c r="AN39" s="26" t="s">
        <v>189</v>
      </c>
      <c r="AO39" s="26" t="s">
        <v>193</v>
      </c>
      <c r="AP39" s="26" t="s">
        <v>194</v>
      </c>
      <c r="AQ39" s="26" t="s">
        <v>255</v>
      </c>
      <c r="AR39" s="26" t="s">
        <v>199</v>
      </c>
      <c r="AS39" s="26" t="s">
        <v>103</v>
      </c>
      <c r="AT39" s="26" t="s">
        <v>252</v>
      </c>
      <c r="AU39" s="26" t="s">
        <v>201</v>
      </c>
      <c r="AV39" s="26" t="s">
        <v>107</v>
      </c>
      <c r="AW39" s="26" t="s">
        <v>107</v>
      </c>
      <c r="AX39" s="26" t="s">
        <v>107</v>
      </c>
      <c r="AY39" s="26" t="s">
        <v>107</v>
      </c>
      <c r="AZ39" s="26" t="s">
        <v>107</v>
      </c>
      <c r="BA39" s="26" t="s">
        <v>266</v>
      </c>
      <c r="BB39" s="26" t="s">
        <v>266</v>
      </c>
      <c r="BC39" s="26" t="s">
        <v>266</v>
      </c>
      <c r="BD39" s="26" t="s">
        <v>208</v>
      </c>
      <c r="BE39" s="26" t="s">
        <v>168</v>
      </c>
      <c r="BF39" s="26" t="s">
        <v>164</v>
      </c>
      <c r="BG39" s="26" t="s">
        <v>211</v>
      </c>
      <c r="BH39" s="26" t="s">
        <v>214</v>
      </c>
      <c r="BI39" s="26" t="s">
        <v>214</v>
      </c>
      <c r="BJ39" s="26" t="s">
        <v>214</v>
      </c>
      <c r="BK39" s="26" t="s">
        <v>214</v>
      </c>
      <c r="BL39" s="26" t="s">
        <v>214</v>
      </c>
    </row>
    <row r="40" spans="1:64" s="26" customFormat="1" ht="73.150000000000006" customHeight="1" x14ac:dyDescent="0.25">
      <c r="A40" s="51" t="s">
        <v>29</v>
      </c>
      <c r="B40" s="51" t="s">
        <v>52</v>
      </c>
      <c r="C40" s="52" t="s">
        <v>128</v>
      </c>
      <c r="D40" s="52" t="s">
        <v>303</v>
      </c>
      <c r="E40" s="52" t="s">
        <v>305</v>
      </c>
      <c r="F40" s="52" t="s">
        <v>293</v>
      </c>
      <c r="G40" s="52" t="s">
        <v>109</v>
      </c>
      <c r="H40" s="52" t="s">
        <v>158</v>
      </c>
      <c r="I40" s="52" t="s">
        <v>262</v>
      </c>
      <c r="J40" s="52" t="s">
        <v>262</v>
      </c>
      <c r="K40" s="52" t="s">
        <v>262</v>
      </c>
      <c r="L40" s="52" t="s">
        <v>262</v>
      </c>
      <c r="M40" s="52" t="s">
        <v>93</v>
      </c>
      <c r="N40" s="13" t="s">
        <v>270</v>
      </c>
      <c r="O40" s="13" t="s">
        <v>269</v>
      </c>
      <c r="P40" s="13" t="s">
        <v>269</v>
      </c>
      <c r="Q40" s="13" t="s">
        <v>366</v>
      </c>
      <c r="R40" s="13" t="s">
        <v>366</v>
      </c>
      <c r="S40" s="13" t="s">
        <v>366</v>
      </c>
      <c r="T40" s="13" t="s">
        <v>366</v>
      </c>
      <c r="U40" s="13" t="s">
        <v>366</v>
      </c>
      <c r="V40" s="13" t="s">
        <v>233</v>
      </c>
      <c r="W40" s="13" t="s">
        <v>366</v>
      </c>
      <c r="X40" s="13" t="s">
        <v>159</v>
      </c>
      <c r="Y40" s="13" t="s">
        <v>182</v>
      </c>
      <c r="Z40" s="13" t="s">
        <v>159</v>
      </c>
      <c r="AA40" s="13" t="s">
        <v>159</v>
      </c>
      <c r="AB40" s="13" t="s">
        <v>184</v>
      </c>
      <c r="AC40" s="13" t="s">
        <v>237</v>
      </c>
      <c r="AD40" s="13" t="s">
        <v>366</v>
      </c>
      <c r="AE40" s="13" t="s">
        <v>366</v>
      </c>
      <c r="AF40" s="13" t="s">
        <v>366</v>
      </c>
      <c r="AG40" s="13" t="s">
        <v>366</v>
      </c>
      <c r="AH40" s="13" t="s">
        <v>124</v>
      </c>
      <c r="AI40" s="13" t="s">
        <v>357</v>
      </c>
      <c r="AJ40" s="50" t="s">
        <v>165</v>
      </c>
      <c r="AK40" s="50" t="s">
        <v>281</v>
      </c>
      <c r="AL40" s="50" t="s">
        <v>100</v>
      </c>
      <c r="AM40" s="50" t="s">
        <v>283</v>
      </c>
      <c r="AN40" s="50" t="s">
        <v>192</v>
      </c>
      <c r="AO40" s="50" t="s">
        <v>101</v>
      </c>
      <c r="AP40" s="50" t="s">
        <v>195</v>
      </c>
      <c r="AQ40" s="50" t="s">
        <v>249</v>
      </c>
      <c r="AR40" s="50" t="s">
        <v>200</v>
      </c>
      <c r="AS40" s="50" t="s">
        <v>104</v>
      </c>
      <c r="AT40" s="26" t="s">
        <v>126</v>
      </c>
      <c r="AU40" s="26" t="s">
        <v>202</v>
      </c>
      <c r="AV40" s="26" t="s">
        <v>127</v>
      </c>
      <c r="AW40" s="26" t="s">
        <v>137</v>
      </c>
      <c r="AX40" s="26" t="s">
        <v>287</v>
      </c>
      <c r="AY40" s="26" t="s">
        <v>287</v>
      </c>
      <c r="AZ40" s="86" t="s">
        <v>287</v>
      </c>
      <c r="BA40" s="26" t="s">
        <v>137</v>
      </c>
      <c r="BB40" s="26" t="s">
        <v>137</v>
      </c>
      <c r="BC40" s="26" t="s">
        <v>137</v>
      </c>
      <c r="BD40" s="26" t="s">
        <v>209</v>
      </c>
      <c r="BE40" s="26" t="s">
        <v>209</v>
      </c>
      <c r="BF40" s="26" t="s">
        <v>210</v>
      </c>
      <c r="BG40" s="26" t="s">
        <v>289</v>
      </c>
      <c r="BH40" s="26" t="s">
        <v>127</v>
      </c>
      <c r="BI40" s="26" t="s">
        <v>137</v>
      </c>
      <c r="BJ40" s="26" t="s">
        <v>127</v>
      </c>
      <c r="BK40" s="26" t="s">
        <v>290</v>
      </c>
      <c r="BL40" s="26" t="s">
        <v>290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"/>
  <sheetViews>
    <sheetView workbookViewId="0">
      <selection sqref="A1:BM1"/>
    </sheetView>
  </sheetViews>
  <sheetFormatPr defaultRowHeight="15" x14ac:dyDescent="0.25"/>
  <sheetData>
    <row r="1" spans="1:65" ht="67.5" x14ac:dyDescent="0.25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8" t="s">
        <v>30</v>
      </c>
      <c r="M1" s="28" t="s">
        <v>31</v>
      </c>
      <c r="N1" s="28" t="s">
        <v>32</v>
      </c>
      <c r="O1" s="28" t="s">
        <v>33</v>
      </c>
      <c r="P1" s="28" t="s">
        <v>34</v>
      </c>
      <c r="Q1" s="28" t="s">
        <v>35</v>
      </c>
      <c r="R1" s="28" t="s">
        <v>36</v>
      </c>
      <c r="S1" s="28" t="s">
        <v>37</v>
      </c>
      <c r="T1" s="28" t="s">
        <v>38</v>
      </c>
      <c r="U1" s="28" t="s">
        <v>39</v>
      </c>
      <c r="V1" s="28" t="s">
        <v>40</v>
      </c>
      <c r="W1" s="28" t="s">
        <v>41</v>
      </c>
      <c r="X1" s="28" t="s">
        <v>42</v>
      </c>
      <c r="Y1" s="28" t="s">
        <v>43</v>
      </c>
      <c r="Z1" s="28" t="s">
        <v>44</v>
      </c>
      <c r="AA1" s="28" t="s">
        <v>45</v>
      </c>
      <c r="AB1" s="28" t="s">
        <v>46</v>
      </c>
      <c r="AC1" s="28" t="s">
        <v>47</v>
      </c>
      <c r="AD1" s="28" t="s">
        <v>48</v>
      </c>
      <c r="AE1" s="28" t="s">
        <v>49</v>
      </c>
      <c r="AF1" s="28" t="s">
        <v>50</v>
      </c>
      <c r="AG1" s="28" t="s">
        <v>51</v>
      </c>
      <c r="AH1" s="28" t="s">
        <v>53</v>
      </c>
      <c r="AI1" s="28" t="s">
        <v>54</v>
      </c>
      <c r="AJ1" s="29" t="s">
        <v>55</v>
      </c>
      <c r="AK1" s="29" t="s">
        <v>56</v>
      </c>
      <c r="AL1" s="29" t="s">
        <v>57</v>
      </c>
      <c r="AM1" s="29" t="s">
        <v>58</v>
      </c>
      <c r="AN1" s="29" t="s">
        <v>59</v>
      </c>
      <c r="AO1" s="29" t="s">
        <v>60</v>
      </c>
      <c r="AP1" s="29" t="s">
        <v>61</v>
      </c>
      <c r="AQ1" s="29" t="s">
        <v>62</v>
      </c>
      <c r="AR1" s="29" t="s">
        <v>63</v>
      </c>
      <c r="AS1" s="31" t="s">
        <v>66</v>
      </c>
      <c r="AT1" s="32" t="s">
        <v>67</v>
      </c>
      <c r="AU1" s="33" t="s">
        <v>68</v>
      </c>
      <c r="AV1" s="33" t="s">
        <v>69</v>
      </c>
      <c r="AW1" s="33" t="s">
        <v>70</v>
      </c>
      <c r="AX1" s="33" t="s">
        <v>71</v>
      </c>
      <c r="AY1" s="33" t="s">
        <v>67</v>
      </c>
      <c r="AZ1" s="33" t="s">
        <v>69</v>
      </c>
      <c r="BA1" s="33" t="s">
        <v>72</v>
      </c>
      <c r="BB1" s="33" t="s">
        <v>73</v>
      </c>
      <c r="BC1" s="34" t="s">
        <v>74</v>
      </c>
      <c r="BD1" s="35" t="s">
        <v>75</v>
      </c>
      <c r="BE1" s="35" t="s">
        <v>76</v>
      </c>
      <c r="BF1" s="35" t="s">
        <v>77</v>
      </c>
      <c r="BG1" s="34" t="s">
        <v>78</v>
      </c>
      <c r="BH1" s="33" t="s">
        <v>79</v>
      </c>
      <c r="BI1" s="36" t="s">
        <v>80</v>
      </c>
      <c r="BJ1" s="34" t="s">
        <v>81</v>
      </c>
      <c r="BK1" s="34" t="s">
        <v>82</v>
      </c>
      <c r="BL1" s="34" t="s">
        <v>83</v>
      </c>
      <c r="BM1" s="34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BL2"/>
  <sheetViews>
    <sheetView topLeftCell="AK1" workbookViewId="0">
      <selection activeCell="C2" sqref="C2:BL2"/>
    </sheetView>
  </sheetViews>
  <sheetFormatPr defaultRowHeight="15" x14ac:dyDescent="0.25"/>
  <sheetData>
    <row r="2" spans="3:64" x14ac:dyDescent="0.25">
      <c r="C2" t="str">
        <f>"INSERT INTO ProductLine (Name) Values ('" &amp;'Master Table'!C1&amp; "');"</f>
        <v>INSERT INTO ProductLine (Name) Values ('STAAD');</v>
      </c>
      <c r="D2" t="str">
        <f>"INSERT INTO ProductLine (Name) Values ('" &amp;'Master Table'!D1&amp; "');"</f>
        <v>INSERT INTO ProductLine (Name) Values ('RAM');</v>
      </c>
      <c r="E2" t="str">
        <f>"INSERT INTO ProductLine (Name) Values ('" &amp;'Master Table'!E1&amp; "');"</f>
        <v>INSERT INTO ProductLine (Name) Values ('AUTOPIPE');</v>
      </c>
      <c r="F2" t="str">
        <f>"INSERT INTO ProductLine (Name) Values ('" &amp;'Master Table'!F1&amp; "');"</f>
        <v>INSERT INTO ProductLine (Name) Values ('SACS');</v>
      </c>
      <c r="G2" t="str">
        <f>"INSERT INTO ProductLine (Name) Values ('" &amp;'Master Table'!G1&amp; "');"</f>
        <v>INSERT INTO ProductLine (Name) Values ('MAXSURF');</v>
      </c>
      <c r="H2" t="str">
        <f>"INSERT INTO ProductLine (Name) Values ('" &amp;'Master Table'!H1&amp; "');"</f>
        <v>INSERT INTO ProductLine (Name) Values ('MOSES');</v>
      </c>
      <c r="I2" t="str">
        <f>"INSERT INTO ProductLine (Name) Values ('" &amp;'Master Table'!I1&amp; "');"</f>
        <v>INSERT INTO ProductLine (Name) Values ('RM');</v>
      </c>
      <c r="J2" t="str">
        <f>"INSERT INTO ProductLine (Name) Values ('" &amp;'Master Table'!J1&amp; "');"</f>
        <v>INSERT INTO ProductLine (Name) Values ('LEAP');</v>
      </c>
      <c r="K2" t="str">
        <f>"INSERT INTO ProductLine (Name) Values ('" &amp;'Master Table'!K1&amp; "');"</f>
        <v>INSERT INTO ProductLine (Name) Values ('OBM');</v>
      </c>
      <c r="L2" t="str">
        <f>"INSERT INTO ProductLine (Name) Values ('" &amp;'Master Table'!L1&amp; "');"</f>
        <v>INSERT INTO ProductLine (Name) Values ('LARS');</v>
      </c>
      <c r="M2" t="str">
        <f>"INSERT INTO ProductLine (Name) Values ('" &amp;'Master Table'!M1&amp; "');"</f>
        <v>INSERT INTO ProductLine (Name) Values ('SITEOPS');</v>
      </c>
      <c r="N2" t="str">
        <f>"INSERT INTO ProductLine (Name) Values ('" &amp;'Master Table'!N1&amp; "');"</f>
        <v>INSERT INTO ProductLine (Name) Values ('AECOsim Building Designer');</v>
      </c>
      <c r="O2" t="str">
        <f>"INSERT INTO ProductLine (Name) Values ('" &amp;'Master Table'!O1&amp; "');"</f>
        <v>INSERT INTO ProductLine (Name) Values ('speedikon');</v>
      </c>
      <c r="P2" t="str">
        <f>"INSERT INTO ProductLine (Name) Values ('" &amp;'Master Table'!P1&amp; "');"</f>
        <v>INSERT INTO ProductLine (Name) Values ('Hevacomp');</v>
      </c>
      <c r="Q2" t="str">
        <f>"INSERT INTO ProductLine (Name) Values ('" &amp;'Master Table'!Q1&amp; "');"</f>
        <v>INSERT INTO ProductLine (Name) Values ('GEOPAK');</v>
      </c>
      <c r="R2" t="str">
        <f>"INSERT INTO ProductLine (Name) Values ('" &amp;'Master Table'!R1&amp; "');"</f>
        <v>INSERT INTO ProductLine (Name) Values ('InRoads');</v>
      </c>
      <c r="S2" t="str">
        <f>"INSERT INTO ProductLine (Name) Values ('" &amp;'Master Table'!S1&amp; "');"</f>
        <v>INSERT INTO ProductLine (Name) Values ('MX');</v>
      </c>
      <c r="T2" t="str">
        <f>"INSERT INTO ProductLine (Name) Values ('" &amp;'Master Table'!T1&amp; "');"</f>
        <v>INSERT INTO ProductLine (Name) Values ('OpenRail');</v>
      </c>
      <c r="U2" t="str">
        <f>"INSERT INTO ProductLine (Name) Values ('" &amp;'Master Table'!U1&amp; "');"</f>
        <v>INSERT INTO ProductLine (Name) Values ('OpenRoads');</v>
      </c>
      <c r="V2" t="str">
        <f>"INSERT INTO ProductLine (Name) Values ('" &amp;'Master Table'!V1&amp; "');"</f>
        <v>INSERT INTO ProductLine (Name) Values ('ConceptStation');</v>
      </c>
      <c r="W2" t="str">
        <f>"INSERT INTO ProductLine (Name) Values ('" &amp;'Master Table'!W1&amp; "');"</f>
        <v>INSERT INTO ProductLine (Name) Values ('gINT');</v>
      </c>
      <c r="X2" t="str">
        <f>"INSERT INTO ProductLine (Name) Values ('" &amp;'Master Table'!X1&amp; "');"</f>
        <v>INSERT INTO ProductLine (Name) Values ('AutoPLANT');</v>
      </c>
      <c r="Y2" t="str">
        <f>"INSERT INTO ProductLine (Name) Values ('" &amp;'Master Table'!Y1&amp; "');"</f>
        <v>INSERT INTO ProductLine (Name) Values ('AXSYS');</v>
      </c>
      <c r="Z2" t="str">
        <f>"INSERT INTO ProductLine (Name) Values ('" &amp;'Master Table'!Z1&amp; "');"</f>
        <v>INSERT INTO ProductLine (Name) Values ('OpenPlant');</v>
      </c>
      <c r="AA2" t="str">
        <f>"INSERT INTO ProductLine (Name) Values ('" &amp;'Master Table'!AA1&amp; "');"</f>
        <v>INSERT INTO ProductLine (Name) Values ('PlantSpace');</v>
      </c>
      <c r="AB2" t="str">
        <f>"INSERT INTO ProductLine (Name) Values ('" &amp;'Master Table'!AB1&amp; "');"</f>
        <v>INSERT INTO ProductLine (Name) Values ('MineCycle');</v>
      </c>
      <c r="AC2" t="str">
        <f>"INSERT INTO ProductLine (Name) Values ('" &amp;'Master Table'!AC1&amp; "');"</f>
        <v>INSERT INTO ProductLine (Name) Values ('Plantwise');</v>
      </c>
      <c r="AD2" t="str">
        <f>"INSERT INTO ProductLine (Name) Values ('" &amp;'Master Table'!AD1&amp; "');"</f>
        <v>INSERT INTO ProductLine (Name) Values ('Pointools');</v>
      </c>
      <c r="AE2" t="str">
        <f>"INSERT INTO ProductLine (Name) Values ('" &amp;'Master Table'!AE1&amp; "');"</f>
        <v>INSERT INTO ProductLine (Name) Values ('LumenRT');</v>
      </c>
      <c r="AF2" t="str">
        <f>"INSERT INTO ProductLine (Name) Values ('" &amp;'Master Table'!AF1&amp; "');"</f>
        <v>INSERT INTO ProductLine (Name) Values ('ContextCapture');</v>
      </c>
      <c r="AG2" t="str">
        <f>"INSERT INTO ProductLine (Name) Values ('" &amp;'Master Table'!AG1&amp; "');"</f>
        <v>INSERT INTO ProductLine (Name) Values ('Descartes');</v>
      </c>
      <c r="AH2" t="str">
        <f>"INSERT INTO ProductLine (Name) Values ('" &amp;'Master Table'!AH1&amp; "');"</f>
        <v>INSERT INTO ProductLine (Name) Values ('ProStructures');</v>
      </c>
      <c r="AI2" t="str">
        <f>"INSERT INTO ProductLine (Name) Values ('" &amp;'Master Table'!AI1&amp; "');"</f>
        <v>INSERT INTO ProductLine (Name) Values ('promis*e');</v>
      </c>
      <c r="AJ2" t="str">
        <f>"INSERT INTO ProductLine (Name) Values ('" &amp;'Master Table'!AJ1&amp; "');"</f>
        <v>INSERT INTO ProductLine (Name) Values ('AssetWise');</v>
      </c>
      <c r="AK2" t="str">
        <f>"INSERT INTO ProductLine (Name) Values ('" &amp;'Master Table'!AK1&amp; "');"</f>
        <v>INSERT INTO ProductLine (Name) Values ('AssetWise APM');</v>
      </c>
      <c r="AL2" t="str">
        <f>"INSERT INTO ProductLine (Name) Values ('" &amp;'Master Table'!AL1&amp; "');"</f>
        <v>INSERT INTO ProductLine (Name) Values ('OpenUtilities');</v>
      </c>
      <c r="AM2" t="str">
        <f>"INSERT INTO ProductLine (Name) Values ('" &amp;'Master Table'!AM1&amp; "');"</f>
        <v>INSERT INTO ProductLine (Name) Values ('Map');</v>
      </c>
      <c r="AN2" t="str">
        <f>"INSERT INTO ProductLine (Name) Values ('" &amp;'Master Table'!AN1&amp; "');"</f>
        <v>INSERT INTO ProductLine (Name) Values ('OpenComms');</v>
      </c>
      <c r="AO2" t="str">
        <f>"INSERT INTO ProductLine (Name) Values ('" &amp;'Master Table'!AO1&amp; "');"</f>
        <v>INSERT INTO ProductLine (Name) Values ('Exor');</v>
      </c>
      <c r="AP2" t="str">
        <f>"INSERT INTO ProductLine (Name) Values ('" &amp;'Master Table'!AP1&amp; "');"</f>
        <v>INSERT INTO ProductLine (Name) Values ('Haestad');</v>
      </c>
      <c r="AQ2" t="str">
        <f>"INSERT INTO ProductLine (Name) Values ('" &amp;'Master Table'!AQ1&amp; "');"</f>
        <v>INSERT INTO ProductLine (Name) Values ('Optram');</v>
      </c>
      <c r="AR2" t="str">
        <f>"INSERT INTO ProductLine (Name) Values ('" &amp;'Master Table'!AR1&amp; "');"</f>
        <v>INSERT INTO ProductLine (Name) Values ('SUPERLOAD');</v>
      </c>
      <c r="AS2" t="str">
        <f>"INSERT INTO ProductLine (Name) Values ('" &amp;'Master Table'!AS1&amp; "');"</f>
        <v>INSERT INTO ProductLine (Name) Values ('Amulet');</v>
      </c>
      <c r="AT2" t="str">
        <f>"INSERT INTO ProductLine (Name) Values ('" &amp;'Master Table'!AT1&amp; "');"</f>
        <v>INSERT INTO ProductLine (Name) Values ('InspectTech');</v>
      </c>
      <c r="AU2" t="str">
        <f>"INSERT INTO ProductLine (Name) Values ('" &amp;'Master Table'!AU1&amp; "');"</f>
        <v>INSERT INTO ProductLine (Name) Values ('ConstructSim Work Package Server');</v>
      </c>
      <c r="AV2" t="str">
        <f>"INSERT INTO ProductLine (Name) Values ('" &amp;'Master Table'!AV1&amp; "');"</f>
        <v>INSERT INTO ProductLine (Name) Values ('ProjectWise Design Integration');</v>
      </c>
      <c r="AW2" t="str">
        <f>"INSERT INTO ProductLine (Name) Values ('" &amp;'Master Table'!AW1&amp; "');"</f>
        <v>INSERT INTO ProductLine (Name) Values ('ProjectWise Issues Resolution');</v>
      </c>
      <c r="AX2" t="str">
        <f>"INSERT INTO ProductLine (Name) Values ('" &amp;'Master Table'!AX1&amp; "');"</f>
        <v>INSERT INTO ProductLine (Name) Values ('ProjectWise Explorer Civil 3D Integration Module');</v>
      </c>
      <c r="AY2" t="str">
        <f>"INSERT INTO ProductLine (Name) Values ('" &amp;'Master Table'!AY1&amp; "');"</f>
        <v>INSERT INTO ProductLine (Name) Values ('ProjectWise Explorer Revit Integration Module');</v>
      </c>
      <c r="AZ2" t="str">
        <f>"INSERT INTO ProductLine (Name) Values ('" &amp;'Master Table'!AZ1&amp; "');"</f>
        <v>INSERT INTO ProductLine (Name) Values ('ProjectWise Explorer Office Integration Module');</v>
      </c>
      <c r="BA2" t="str">
        <f>"INSERT INTO ProductLine (Name) Values ('" &amp;'Master Table'!BA1&amp; "');"</f>
        <v>INSERT INTO ProductLine (Name) Values ('ProjectWise Edge Mobile');</v>
      </c>
      <c r="BB2" t="str">
        <f>"INSERT INTO ProductLine (Name) Values ('" &amp;'Master Table'!BB1&amp; "');"</f>
        <v>INSERT INTO ProductLine (Name) Values ('ProjectWise WorkSite');</v>
      </c>
      <c r="BC2" t="str">
        <f>"INSERT INTO ProductLine (Name) Values ('" &amp;'Master Table'!BC1&amp; "');"</f>
        <v>INSERT INTO ProductLine (Name) Values ('ProjectWise Edge');</v>
      </c>
      <c r="BD2" t="str">
        <f>"INSERT INTO ProductLine (Name) Values ('" &amp;'Master Table'!BD1&amp; "');"</f>
        <v>INSERT INTO ProductLine (Name) Values ('Navigator CE');</v>
      </c>
      <c r="BE2" t="str">
        <f>"INSERT INTO ProductLine (Name) Values ('" &amp;'Master Table'!BE1&amp; "');"</f>
        <v>INSERT INTO ProductLine (Name) Values ('Completions');</v>
      </c>
      <c r="BF2" t="str">
        <f>"INSERT INTO ProductLine (Name) Values ('" &amp;'Master Table'!BF1&amp; "');"</f>
        <v>INSERT INTO ProductLine (Name) Values ('EADOC UI Upgrade');</v>
      </c>
      <c r="BG2" t="str">
        <f>"INSERT INTO ProductLine (Name) Values ('" &amp;'Master Table'!BG1&amp; "');"</f>
        <v>INSERT INTO ProductLine (Name) Values ('Deliverables Management');</v>
      </c>
      <c r="BH2" t="str">
        <f>"INSERT INTO ProductLine (Name) Values ('" &amp;'Master Table'!BH1&amp; "');"</f>
        <v>INSERT INTO ProductLine (Name) Values ('Bentley Automation Service CONNECT Edition');</v>
      </c>
      <c r="BI2" t="str">
        <f>"INSERT INTO ProductLine (Name) Values ('" &amp;'Master Table'!BI1&amp; "');"</f>
        <v>INSERT INTO ProductLine (Name) Values ('ProjectWise "Field Data Management');</v>
      </c>
      <c r="BJ2" t="str">
        <f>"INSERT INTO ProductLine (Name) Values ('" &amp;'Master Table'!BJ1&amp; "');"</f>
        <v>INSERT INTO ProductLine (Name) Values ('ProjectWise i-model Composition Server for PDF');</v>
      </c>
      <c r="BK2" t="str">
        <f>"INSERT INTO ProductLine (Name) Values ('" &amp;'Master Table'!BK1&amp; "');"</f>
        <v>INSERT INTO ProductLine (Name) Values ('ProjectWise InterPlot Server and Interplot Organizer');</v>
      </c>
      <c r="BL2" t="str">
        <f>"INSERT INTO ProductLine (Name) Values ('" &amp;'Master Table'!BL1&amp; "');"</f>
        <v>INSERT INTO ProductLine (Name) Values ('ProjectWise i-model Composition Server for i-models');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40"/>
  <sheetViews>
    <sheetView workbookViewId="0">
      <selection activeCell="H43" sqref="H43"/>
    </sheetView>
  </sheetViews>
  <sheetFormatPr defaultRowHeight="15" x14ac:dyDescent="0.25"/>
  <sheetData>
    <row r="2" spans="2:2" x14ac:dyDescent="0.25">
      <c r="B2" t="str">
        <f>"INSERT INTO Region (Name) VALUES ('"&amp;'Master Table'!A2&amp;"');"</f>
        <v>INSERT INTO Region (Name) VALUES ('NA');</v>
      </c>
    </row>
    <row r="3" spans="2:2" x14ac:dyDescent="0.25">
      <c r="B3" t="str">
        <f>"INSERT INTO Region (Name) VALUES ('"&amp;'Master Table'!A3&amp;"');"</f>
        <v>INSERT INTO Region (Name) VALUES ('NA');</v>
      </c>
    </row>
    <row r="4" spans="2:2" x14ac:dyDescent="0.25">
      <c r="B4" t="str">
        <f>"INSERT INTO Region (Name) VALUES ('"&amp;'Master Table'!A4&amp;"');"</f>
        <v>INSERT INTO Region (Name) VALUES ('NA');</v>
      </c>
    </row>
    <row r="5" spans="2:2" x14ac:dyDescent="0.25">
      <c r="B5" t="str">
        <f>"INSERT INTO Region (Name) VALUES ('"&amp;'Master Table'!A5&amp;"');"</f>
        <v>INSERT INTO Region (Name) VALUES ('SEAsia');</v>
      </c>
    </row>
    <row r="6" spans="2:2" x14ac:dyDescent="0.25">
      <c r="B6" t="str">
        <f>"INSERT INTO Region (Name) VALUES ('"&amp;'Master Table'!A6&amp;"');"</f>
        <v>INSERT INTO Region (Name) VALUES ('SEAsia');</v>
      </c>
    </row>
    <row r="7" spans="2:2" x14ac:dyDescent="0.25">
      <c r="B7" t="str">
        <f>"INSERT INTO Region (Name) VALUES ('"&amp;'Master Table'!A7&amp;"');"</f>
        <v>INSERT INTO Region (Name) VALUES ('SEAsia');</v>
      </c>
    </row>
    <row r="8" spans="2:2" x14ac:dyDescent="0.25">
      <c r="B8" t="str">
        <f>"INSERT INTO Region (Name) VALUES ('"&amp;'Master Table'!A8&amp;"');"</f>
        <v>INSERT INTO Region (Name) VALUES ('EU1');</v>
      </c>
    </row>
    <row r="9" spans="2:2" x14ac:dyDescent="0.25">
      <c r="B9" t="str">
        <f>"INSERT INTO Region (Name) VALUES ('"&amp;'Master Table'!A9&amp;"');"</f>
        <v>INSERT INTO Region (Name) VALUES ('EU1');</v>
      </c>
    </row>
    <row r="10" spans="2:2" x14ac:dyDescent="0.25">
      <c r="B10" t="str">
        <f>"INSERT INTO Region (Name) VALUES ('"&amp;'Master Table'!A10&amp;"');"</f>
        <v>INSERT INTO Region (Name) VALUES ('EU1');</v>
      </c>
    </row>
    <row r="11" spans="2:2" x14ac:dyDescent="0.25">
      <c r="B11" t="str">
        <f>"INSERT INTO Region (Name) VALUES ('"&amp;'Master Table'!A11&amp;"');"</f>
        <v>INSERT INTO Region (Name) VALUES ('India');</v>
      </c>
    </row>
    <row r="12" spans="2:2" x14ac:dyDescent="0.25">
      <c r="B12" t="str">
        <f>"INSERT INTO Region (Name) VALUES ('"&amp;'Master Table'!A12&amp;"');"</f>
        <v>INSERT INTO Region (Name) VALUES ('India');</v>
      </c>
    </row>
    <row r="13" spans="2:2" x14ac:dyDescent="0.25">
      <c r="B13" t="str">
        <f>"INSERT INTO Region (Name) VALUES ('"&amp;'Master Table'!A13&amp;"');"</f>
        <v>INSERT INTO Region (Name) VALUES ('India');</v>
      </c>
    </row>
    <row r="14" spans="2:2" x14ac:dyDescent="0.25">
      <c r="B14" t="str">
        <f>"INSERT INTO Region (Name) VALUES ('"&amp;'Master Table'!A14&amp;"');"</f>
        <v>INSERT INTO Region (Name) VALUES ('ME');</v>
      </c>
    </row>
    <row r="15" spans="2:2" x14ac:dyDescent="0.25">
      <c r="B15" t="str">
        <f>"INSERT INTO Region (Name) VALUES ('"&amp;'Master Table'!A15&amp;"');"</f>
        <v>INSERT INTO Region (Name) VALUES ('ME');</v>
      </c>
    </row>
    <row r="16" spans="2:2" x14ac:dyDescent="0.25">
      <c r="B16" t="str">
        <f>"INSERT INTO Region (Name) VALUES ('"&amp;'Master Table'!A16&amp;"');"</f>
        <v>INSERT INTO Region (Name) VALUES ('ME');</v>
      </c>
    </row>
    <row r="17" spans="2:2" x14ac:dyDescent="0.25">
      <c r="B17" t="str">
        <f>"INSERT INTO Region (Name) VALUES ('"&amp;'Master Table'!A17&amp;"');"</f>
        <v>INSERT INTO Region (Name) VALUES ('UK');</v>
      </c>
    </row>
    <row r="18" spans="2:2" x14ac:dyDescent="0.25">
      <c r="B18" t="str">
        <f>"INSERT INTO Region (Name) VALUES ('"&amp;'Master Table'!A18&amp;"');"</f>
        <v>INSERT INTO Region (Name) VALUES ('UK');</v>
      </c>
    </row>
    <row r="19" spans="2:2" x14ac:dyDescent="0.25">
      <c r="B19" t="str">
        <f>"INSERT INTO Region (Name) VALUES ('"&amp;'Master Table'!A19&amp;"');"</f>
        <v>INSERT INTO Region (Name) VALUES ('UK');</v>
      </c>
    </row>
    <row r="20" spans="2:2" x14ac:dyDescent="0.25">
      <c r="B20" t="str">
        <f>"INSERT INTO Region (Name) VALUES ('"&amp;'Master Table'!A20&amp;"');"</f>
        <v>INSERT INTO Region (Name) VALUES ('China');</v>
      </c>
    </row>
    <row r="21" spans="2:2" x14ac:dyDescent="0.25">
      <c r="B21" t="str">
        <f>"INSERT INTO Region (Name) VALUES ('"&amp;'Master Table'!A21&amp;"');"</f>
        <v>INSERT INTO Region (Name) VALUES ('China');</v>
      </c>
    </row>
    <row r="22" spans="2:2" x14ac:dyDescent="0.25">
      <c r="B22" t="str">
        <f>"INSERT INTO Region (Name) VALUES ('"&amp;'Master Table'!A22&amp;"');"</f>
        <v>INSERT INTO Region (Name) VALUES ('China');</v>
      </c>
    </row>
    <row r="23" spans="2:2" x14ac:dyDescent="0.25">
      <c r="B23" t="str">
        <f>"INSERT INTO Region (Name) VALUES ('"&amp;'Master Table'!A23&amp;"');"</f>
        <v>INSERT INTO Region (Name) VALUES ('Korea');</v>
      </c>
    </row>
    <row r="24" spans="2:2" x14ac:dyDescent="0.25">
      <c r="B24" t="str">
        <f>"INSERT INTO Region (Name) VALUES ('"&amp;'Master Table'!A24&amp;"');"</f>
        <v>INSERT INTO Region (Name) VALUES ('Korea');</v>
      </c>
    </row>
    <row r="25" spans="2:2" x14ac:dyDescent="0.25">
      <c r="B25" t="str">
        <f>"INSERT INTO Region (Name) VALUES ('"&amp;'Master Table'!A25&amp;"');"</f>
        <v>INSERT INTO Region (Name) VALUES ('Korea');</v>
      </c>
    </row>
    <row r="26" spans="2:2" x14ac:dyDescent="0.25">
      <c r="B26" t="str">
        <f>"INSERT INTO Region (Name) VALUES ('"&amp;'Master Table'!A26&amp;"');"</f>
        <v>INSERT INTO Region (Name) VALUES ('Japan');</v>
      </c>
    </row>
    <row r="27" spans="2:2" x14ac:dyDescent="0.25">
      <c r="B27" t="str">
        <f>"INSERT INTO Region (Name) VALUES ('"&amp;'Master Table'!A27&amp;"');"</f>
        <v>INSERT INTO Region (Name) VALUES ('Japan');</v>
      </c>
    </row>
    <row r="28" spans="2:2" x14ac:dyDescent="0.25">
      <c r="B28" t="str">
        <f>"INSERT INTO Region (Name) VALUES ('"&amp;'Master Table'!A28&amp;"');"</f>
        <v>INSERT INTO Region (Name) VALUES ('Japan');</v>
      </c>
    </row>
    <row r="29" spans="2:2" x14ac:dyDescent="0.25">
      <c r="B29" t="str">
        <f>"INSERT INTO Region (Name) VALUES ('"&amp;'Master Table'!A29&amp;"');"</f>
        <v>INSERT INTO Region (Name) VALUES ('LA');</v>
      </c>
    </row>
    <row r="30" spans="2:2" x14ac:dyDescent="0.25">
      <c r="B30" t="str">
        <f>"INSERT INTO Region (Name) VALUES ('"&amp;'Master Table'!A30&amp;"');"</f>
        <v>INSERT INTO Region (Name) VALUES ('LA');</v>
      </c>
    </row>
    <row r="31" spans="2:2" x14ac:dyDescent="0.25">
      <c r="B31" t="str">
        <f>"INSERT INTO Region (Name) VALUES ('"&amp;'Master Table'!A31&amp;"');"</f>
        <v>INSERT INTO Region (Name) VALUES ('LA');</v>
      </c>
    </row>
    <row r="32" spans="2:2" x14ac:dyDescent="0.25">
      <c r="B32" t="str">
        <f>"INSERT INTO Region (Name) VALUES ('"&amp;'Master Table'!A32&amp;"');"</f>
        <v>INSERT INTO Region (Name) VALUES ('ANZ');</v>
      </c>
    </row>
    <row r="33" spans="2:2" x14ac:dyDescent="0.25">
      <c r="B33" t="str">
        <f>"INSERT INTO Region (Name) VALUES ('"&amp;'Master Table'!A33&amp;"');"</f>
        <v>INSERT INTO Region (Name) VALUES ('ANZ');</v>
      </c>
    </row>
    <row r="34" spans="2:2" x14ac:dyDescent="0.25">
      <c r="B34" t="str">
        <f>"INSERT INTO Region (Name) VALUES ('"&amp;'Master Table'!A34&amp;"');"</f>
        <v>INSERT INTO Region (Name) VALUES ('ANZ');</v>
      </c>
    </row>
    <row r="35" spans="2:2" x14ac:dyDescent="0.25">
      <c r="B35" t="str">
        <f>"INSERT INTO Region (Name) VALUES ('"&amp;'Master Table'!A35&amp;"');"</f>
        <v>INSERT INTO Region (Name) VALUES ('EU2');</v>
      </c>
    </row>
    <row r="36" spans="2:2" x14ac:dyDescent="0.25">
      <c r="B36" t="str">
        <f>"INSERT INTO Region (Name) VALUES ('"&amp;'Master Table'!A36&amp;"');"</f>
        <v>INSERT INTO Region (Name) VALUES ('EU2');</v>
      </c>
    </row>
    <row r="37" spans="2:2" x14ac:dyDescent="0.25">
      <c r="B37" t="str">
        <f>"INSERT INTO Region (Name) VALUES ('"&amp;'Master Table'!A37&amp;"');"</f>
        <v>INSERT INTO Region (Name) VALUES ('EU2');</v>
      </c>
    </row>
    <row r="38" spans="2:2" x14ac:dyDescent="0.25">
      <c r="B38" t="str">
        <f>"INSERT INTO Region (Name) VALUES ('"&amp;'Master Table'!A38&amp;"');"</f>
        <v>INSERT INTO Region (Name) VALUES ('Africa');</v>
      </c>
    </row>
    <row r="39" spans="2:2" x14ac:dyDescent="0.25">
      <c r="B39" t="str">
        <f>"INSERT INTO Region (Name) VALUES ('"&amp;'Master Table'!A39&amp;"');"</f>
        <v>INSERT INTO Region (Name) VALUES ('Africa');</v>
      </c>
    </row>
    <row r="40" spans="2:2" x14ac:dyDescent="0.25">
      <c r="B40" t="str">
        <f>"INSERT INTO Region (Name) VALUES ('"&amp;'Master Table'!A40&amp;"');"</f>
        <v>INSERT INTO Region (Name) VALUES ('Africa');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BL41"/>
  <sheetViews>
    <sheetView topLeftCell="AS1" workbookViewId="0">
      <selection activeCell="AS2" sqref="AS2"/>
    </sheetView>
  </sheetViews>
  <sheetFormatPr defaultRowHeight="15" x14ac:dyDescent="0.25"/>
  <cols>
    <col min="8" max="8" width="12.5703125" customWidth="1"/>
    <col min="9" max="9" width="16.28515625" customWidth="1"/>
    <col min="10" max="10" width="11.42578125" customWidth="1"/>
    <col min="38" max="38" width="255.7109375" bestFit="1" customWidth="1"/>
    <col min="58" max="58" width="12.7109375" customWidth="1"/>
  </cols>
  <sheetData>
    <row r="2" spans="3:64" x14ac:dyDescent="0.25">
      <c r="C2" t="str">
        <f>contactsSQL('Master Table'!C2)</f>
        <v>INSERT INTO Contact (Name, Email, Phone) SELECT 'Jenn Metzler','Jennifer.Metzler@bentley.com','16104589574' WHERE NOT EXISTS (SELECT Name FROM Contact WHERE Name = 'Jenn Metzler');</v>
      </c>
      <c r="D2" t="str">
        <f>contactsSQL('Master Table'!D2)</f>
        <v>INSERT INTO Contact (Name, Email, Phone) SELECT 'Jenn Metzler','Jennifer.Metzler@bentley.com','16104589574' WHERE NOT EXISTS (SELECT Name FROM Contact WHERE Name = 'Jenn Metzler');</v>
      </c>
      <c r="E2" t="str">
        <f>contactsSQL('Master Table'!E2)</f>
        <v>INSERT INTO Contact (Name, Email, Phone) SELECT 'Jenn Metzler','Jennifer.Metzler@bentley.com','16104589574' WHERE NOT EXISTS (SELECT Name FROM Contact WHERE Name = 'Jenn Metzler');</v>
      </c>
      <c r="F2" t="str">
        <f>contactsSQL('Master Table'!F2)</f>
        <v>INSERT INTO Contact (Name, Email, Phone) SELECT 'Jenn Metzler','Jennifer.Metzler@bentley.com','16104589574' WHERE NOT EXISTS (SELECT Name FROM Contact WHERE Name = 'Jenn Metzler');</v>
      </c>
      <c r="G2" t="str">
        <f>contactsSQL('Master Table'!G2)</f>
        <v>INSERT INTO Contact (Name, Email, Phone) SELECT 'Jenn Metzler','Jennifer.Metzler@bentley.com','16104589574' WHERE NOT EXISTS (SELECT Name FROM Contact WHERE Name = 'Jenn Metzler');</v>
      </c>
      <c r="H2" t="str">
        <f>contactsSQL('Master Table'!H2)</f>
        <v>INSERT INTO Contact (Name, Email, Phone) SELECT 'Jenn Metzler','Jennifer.Metzler@bentley.com','16104589574' WHERE NOT EXISTS (SELECT Name FROM Contact WHERE Name = 'Jenn Metzler');</v>
      </c>
      <c r="I2" t="str">
        <f>contactsSQL('Master Table'!I2)</f>
        <v>INSERT INTO Contact (Name, Email, Phone) SELECT 'Barbara Day','Barbara.Day@bentley.com','19196097614' WHERE NOT EXISTS (SELECT Name FROM Contact WHERE Name = 'Barbara Day');</v>
      </c>
      <c r="J2" t="str">
        <f>contactsSQL('Master Table'!J2)</f>
        <v>INSERT INTO Contact (Name, Email, Phone) SELECT 'Barbara Day','Barbara.Day@bentley.com','19196097614' WHERE NOT EXISTS (SELECT Name FROM Contact WHERE Name = 'Barbara Day');</v>
      </c>
      <c r="K2" t="str">
        <f>contactsSQL('Master Table'!K2)</f>
        <v>INSERT INTO Contact (Name, Email, Phone) SELECT 'Barbara Day','Barbara.Day@bentley.com','19196097614' WHERE NOT EXISTS (SELECT Name FROM Contact WHERE Name = 'Barbara Day');</v>
      </c>
      <c r="L2" t="str">
        <f>contactsSQL('Master Table'!L2)</f>
        <v>INSERT INTO Contact (Name, Email, Phone) SELECT 'Barbara Day','Barbara.Day@bentley.com','19196097614' WHERE NOT EXISTS (SELECT Name FROM Contact WHERE Name = 'Barbara Day');</v>
      </c>
      <c r="M2" t="str">
        <f>contactsSQL('Master Table'!M2)</f>
        <v>INSERT INTO Contact (Name, Email, Phone) SELECT 'Barbara Day','Barbara.Day@bentley.com','19196097614' WHERE NOT EXISTS (SELECT Name FROM Contact WHERE Name = 'Barbara Day');</v>
      </c>
      <c r="N2" t="str">
        <f>contactsSQL('Master Table'!N2)</f>
        <v>INSERT INTO Contact (Name, Email, Phone) SELECT 'Henry Adams','Henry.Adams@bentley.com','16104582984' WHERE NOT EXISTS (SELECT Name FROM Contact WHERE Name = 'Henry Adams');</v>
      </c>
      <c r="O2" t="str">
        <f>contactsSQL('Master Table'!O2)</f>
        <v>INSERT INTO Contact (Name, Email, Phone) SELECT 'Henry Adams','Henry.Adams@bentley.com','16104582984' WHERE NOT EXISTS (SELECT Name FROM Contact WHERE Name = 'Henry Adams');</v>
      </c>
      <c r="P2" t="str">
        <f>contactsSQL('Master Table'!P2)</f>
        <v>INSERT INTO Contact (Name, Email, Phone) SELECT 'Henry Adams','Henry.Adams@bentley.com','16104582984' WHERE NOT EXISTS (SELECT Name FROM Contact WHERE Name = 'Henry Adams');</v>
      </c>
      <c r="Q2" t="str">
        <f>contactsSQL('Master Table'!Q2)</f>
        <v>INSERT INTO Contact (Name, Email, Phone) SELECT 'Laura Selleck','Laura.Selleck@bentley.com','18584106871' WHERE NOT EXISTS (SELECT Name FROM Contact WHERE Name = 'Laura Selleck');INSERT INTO Contact (Name, Email, Phone) SELECT 'Rick Lund','Rick.Lund@bentley.com','16103216465' WHERE NOT EXISTS (SELECT Name FROM Contact WHERE Name = 'Rick Lund');</v>
      </c>
      <c r="R2" t="str">
        <f>contactsSQL('Master Table'!R2)</f>
        <v>INSERT INTO Contact (Name, Email, Phone) SELECT 'Bernie Morgan','Bernie.Morgan@bentley.com','16104582920' WHERE NOT EXISTS (SELECT Name FROM Contact WHERE Name = 'Bernie Morgan');</v>
      </c>
      <c r="S2" t="str">
        <f>contactsSQL('Master Table'!S2)</f>
        <v>INSERT INTO Contact (Name, Email, Phone) SELECT 'Bernie Morgan','Bernie.Morgan@bentley.com','16104582920' WHERE NOT EXISTS (SELECT Name FROM Contact WHERE Name = 'Bernie Morgan');</v>
      </c>
      <c r="T2" t="str">
        <f>contactsSQL('Master Table'!T2)</f>
        <v>INSERT INTO Contact (Name, Email, Phone) SELECT 'Bernie Morgan','Bernie.Morgan@bentley.com','16104582920' WHERE NOT EXISTS (SELECT Name FROM Contact WHERE Name = 'Bernie Morgan');</v>
      </c>
      <c r="U2" t="str">
        <f>contactsSQL('Master Table'!U2)</f>
        <v>INSERT INTO Contact (Name, Email, Phone) SELECT 'Bernie Morgan','Bernie.Morgan@bentley.com','16104582920' WHERE NOT EXISTS (SELECT Name FROM Contact WHERE Name = 'Bernie Morgan');</v>
      </c>
      <c r="V2" t="str">
        <f>contactsSQL('Master Table'!V2)</f>
        <v>INSERT INTO Contact (Name, Email, Phone) SELECT 'Bernie Morgan','Bernie.Morgan@bentley.com','16104582920' WHERE NOT EXISTS (SELECT Name FROM Contact WHERE Name = 'Bernie Morgan');</v>
      </c>
      <c r="W2" t="str">
        <f>contactsSQL('Master Table'!W2)</f>
        <v>INSERT INTO Contact (Name, Email, Phone) SELECT 'Bernie Morgan','Bernie.Morgan@bentley.com','16104582920' WHERE NOT EXISTS (SELECT Name FROM Contact WHERE Name = 'Bernie Morgan');</v>
      </c>
      <c r="X2" t="str">
        <f>contactsSQL('Master Table'!X2)</f>
        <v>INSERT INTO Contact (Name, Email, Phone) SELECT 'Brian Preston','Brian.Preston@bentley.com','16103216315' WHERE NOT EXISTS (SELECT Name FROM Contact WHERE Name = 'Brian Preston');</v>
      </c>
      <c r="Y2" t="str">
        <f>contactsSQL('Master Table'!Y2)</f>
        <v>INSERT INTO Contact (Name, Email, Phone) SELECT 'Brian Preston','Brian.Preston@bentley.com','16103216315' WHERE NOT EXISTS (SELECT Name FROM Contact WHERE Name = 'Brian Preston');</v>
      </c>
      <c r="Z2" t="str">
        <f>contactsSQL('Master Table'!Z2)</f>
        <v>INSERT INTO Contact (Name, Email, Phone) SELECT 'Brian Preston','Brian.Preston@bentley.com','16103216315' WHERE NOT EXISTS (SELECT Name FROM Contact WHERE Name = 'Brian Preston');</v>
      </c>
      <c r="AA2" t="str">
        <f>contactsSQL('Master Table'!AA2)</f>
        <v>INSERT INTO Contact (Name, Email, Phone) SELECT 'Brian Preston','Brian.Preston@bentley.com','16103216315' WHERE NOT EXISTS (SELECT Name FROM Contact WHERE Name = 'Brian Preston');</v>
      </c>
      <c r="AB2" t="str">
        <f>contactsSQL('Master Table'!AB2)</f>
        <v>INSERT INTO Contact (Name, Email, Phone) SELECT 'Brian Preston','Brian.Preston@bentley.com','16103216315' WHERE NOT EXISTS (SELECT Name FROM Contact WHERE Name = 'Brian Preston');</v>
      </c>
      <c r="AC2" t="str">
        <f>contactsSQL('Master Table'!AC2)</f>
        <v>INSERT INTO Contact (Name, Email, Phone) SELECT 'Brian Preston','Brian.Preston@bentley.com','16103216315' WHERE NOT EXISTS (SELECT Name FROM Contact WHERE Name = 'Brian Preston');</v>
      </c>
      <c r="AD2" t="str">
        <f>contactsSQL('Master Table'!AD2)</f>
        <v>INSERT INTO Contact (Name, Email, Phone) SELECT 'Greg Zeller','Greg.Zeller@bentley.com','16103216462' WHERE NOT EXISTS (SELECT Name FROM Contact WHERE Name = 'Greg Zeller');</v>
      </c>
      <c r="AE2" t="str">
        <f>contactsSQL('Master Table'!AE2)</f>
        <v>INSERT INTO Contact (Name, Email, Phone) SELECT 'Greg Zeller','Greg.Zeller@bentley.com','16103216462' WHERE NOT EXISTS (SELECT Name FROM Contact WHERE Name = 'Greg Zeller');</v>
      </c>
      <c r="AF2" t="str">
        <f>contactsSQL('Master Table'!AF2)</f>
        <v>INSERT INTO Contact (Name, Email, Phone) SELECT 'Greg Zeller','Greg.Zeller@bentley.com','16103216462' WHERE NOT EXISTS (SELECT Name FROM Contact WHERE Name = 'Greg Zeller');</v>
      </c>
      <c r="AG2" t="str">
        <f>contactsSQL('Master Table'!AG2)</f>
        <v>INSERT INTO Contact (Name, Email, Phone) SELECT 'Greg Zeller','Greg.Zeller@bentley.com','16103216462' WHERE NOT EXISTS (SELECT Name FROM Contact WHERE Name = 'Greg Zeller');</v>
      </c>
      <c r="AH2" t="str">
        <f>contactsSQL('Master Table'!AH2)</f>
        <v>INSERT INTO Contact (Name, Email, Phone) SELECT 'Henry Adams','Henry.Adams@bentley.com','16104582984' WHERE NOT EXISTS (SELECT Name FROM Contact WHERE Name = 'Henry Adams');</v>
      </c>
      <c r="AI2" t="str">
        <f>contactsSQL('Master Table'!AI2)</f>
        <v>INSERT INTO Contact (Name, Email, Phone) SELECT 'Laura Selleck','Laura.Selleck@bentley.com','18584106871' WHERE NOT EXISTS (SELECT Name FROM Contact WHERE Name = 'Laura Selleck');INSERT INTO Contact (Name, Email, Phone) SELECT 'Rick Lund','Rick.Lund@bentley.com','16103216465' WHERE NOT EXISTS (SELECT Name FROM Contact WHERE Name = 'Rick Lund');</v>
      </c>
      <c r="AJ2" t="str">
        <f>contactsSQL('Master Table'!AJ2)</f>
        <v>INSERT INTO Contact (Name, Email, Phone) SELECT 'George Castle','George.Castle@bentley.com','12148507553' WHERE NOT EXISTS (SELECT Name FROM Contact WHERE Name = 'George Castle');</v>
      </c>
      <c r="AK2" t="str">
        <f>contactsSQL('Master Table'!AK2)</f>
        <v>INSERT INTO Contact (Name, Email, Phone) SELECT 'George Castle','George.Castle@bentley.com','12148507553' WHERE NOT EXISTS (SELECT Name FROM Contact WHERE Name = 'George Castle');</v>
      </c>
      <c r="AL2" t="str">
        <f>contactsSQL('Master Table'!AL2)</f>
        <v>INSERT INTO Contact (Name, Email, Phone) SELECT 'Jim Lucas','Jim.Lucas@bentley.com','15128152007' WHERE NOT EXISTS (SELECT Name FROM Contact WHERE Name = 'Jim Lucas');INSERT INTO Contact (Name, Email, Phone) SELECT 'Ton de Vries','Ton.deVries@bentley.com','16104584191' WHERE NOT EXISTS (SELECT Name FROM Contact WHERE Name = 'Ton de Vries');</v>
      </c>
      <c r="AM2" t="str">
        <f>contactsSQL('Master Table'!AM2)</f>
        <v/>
      </c>
      <c r="AN2" t="str">
        <f>contactsSQL('Master Table'!AN2)</f>
        <v>INSERT INTO Contact (Name, Email, Phone) SELECT 'Jim Lucas','Jim.Lucas@bentley.com','15128152007' WHERE NOT EXISTS (SELECT Name FROM Contact WHERE Name = 'Jim Lucas');INSERT INTO Contact (Name, Email, Phone) SELECT 'Ton de Vries','Ton.deVries@bentley.com','16104584191' WHERE NOT EXISTS (SELECT Name FROM Contact WHERE Name = 'Ton de Vries');</v>
      </c>
      <c r="AO2" t="str">
        <f>contactsSQL('Master Table'!AO2)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2" t="str">
        <f>contactsSQL('Master Table'!AP2)</f>
        <v>INSERT INTO Contact (Name, Email, Phone) SELECT 'Joel Johnson','Joel.Johnson@bentley.com','1' WHERE NOT EXISTS (SELECT Name FROM Contact WHERE Name = 'Joel Johnson');INSERT INTO Contact (Name, Email, Phone) SELECT 'Mike Rosh','Mike.Rosh@bentley.com','610' WHERE NOT EXISTS (SELECT Name FROM Contact WHERE Name = 'Mike Rosh');</v>
      </c>
      <c r="AQ2" t="str">
        <f>contactsSQL('Master Table'!AQ2)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2" t="str">
        <f>contactsSQL('Master Table'!AR2)</f>
        <v>INSERT INTO Contact (Name, Email, Phone) SELECT 'Dan Vogen','Dan.Vogen@bentley.com','16309816500' WHERE NOT EXISTS (SELECT Name FROM Contact WHERE Name = 'Dan Vogen');</v>
      </c>
      <c r="AS2" t="str">
        <f>contactsSQL('Master Table'!AS2)</f>
        <v>INSERT INTO Contact (Name, Email, Phone) SELECT 'George Castle','George.Castle@bentley.com','12148507553' WHERE NOT EXISTS (SELECT Name FROM Contact WHERE Name = 'George Castle');</v>
      </c>
      <c r="AT2" t="str">
        <f>contactsSQL('Master Table'!AT2)</f>
        <v>INSERT INTO Contact (Name, Email, Phone) SELECT 'Ben Witter','Ben.Witter@bentley.com','12676642491' WHERE NOT EXISTS (SELECT Name FROM Contact WHERE Name = 'Ben Witter');</v>
      </c>
      <c r="AU2" t="str">
        <f>contactsSQL('Master Table'!AU2)</f>
        <v>INSERT INTO Contact (Name, Email, Phone) SELECT 'Eric Crivella','Eric.Crivella@bentley.com','18322172802' WHERE NOT EXISTS (SELECT Name FROM Contact WHERE Name = 'Eric Crivella');</v>
      </c>
      <c r="AV2" t="str">
        <f>contactsSQL('Master Table'!AV2)</f>
        <v>INSERT INTO Contact (Name, Email, Phone) SELECT 'Tom Atkinson','Tom.Atkinson@bentley.com','15184415194' WHERE NOT EXISTS (SELECT Name FROM Contact WHERE Name = 'Tom Atkinson');</v>
      </c>
      <c r="AW2" t="str">
        <f>contactsSQL('Master Table'!AW2)</f>
        <v>INSERT INTO Contact (Name, Email, Phone) SELECT 'Tom Atkinson','Tom.Atkinson@bentley.com','15184415194' WHERE NOT EXISTS (SELECT Name FROM Contact WHERE Name = 'Tom Atkinson');</v>
      </c>
      <c r="AX2" t="str">
        <f>contactsSQL('Master Table'!AX2)</f>
        <v>INSERT INTO Contact (Name, Email, Phone) SELECT 'Tom Atkinson','Tom.Atkinson@bentley.com','15184415194' WHERE NOT EXISTS (SELECT Name FROM Contact WHERE Name = 'Tom Atkinson');</v>
      </c>
      <c r="AY2" t="str">
        <f>contactsSQL('Master Table'!AY2)</f>
        <v>INSERT INTO Contact (Name, Email, Phone) SELECT 'Tom Atkinson','Tom.Atkinson@bentley.com','15184415194' WHERE NOT EXISTS (SELECT Name FROM Contact WHERE Name = 'Tom Atkinson');</v>
      </c>
      <c r="AZ2" t="str">
        <f>contactsSQL('Master Table'!AZ2)</f>
        <v>INSERT INTO Contact (Name, Email, Phone) SELECT 'Tom Atkinson','Tom.Atkinson@bentley.com','15184415194' WHERE NOT EXISTS (SELECT Name FROM Contact WHERE Name = 'Tom Atkinson');</v>
      </c>
      <c r="BA2" t="str">
        <f>contactsSQL('Master Table'!BA2)</f>
        <v>INSERT INTO Contact (Name, Email, Phone) SELECT 'Tom Atkinson','Tom.Atkinson@bentley.com','15184415194' WHERE NOT EXISTS (SELECT Name FROM Contact WHERE Name = 'Tom Atkinson');</v>
      </c>
      <c r="BB2" t="str">
        <f>contactsSQL('Master Table'!BB2)</f>
        <v>INSERT INTO Contact (Name, Email, Phone) SELECT 'Tom Atkinson','Tom.Atkinson@bentley.com','15184415194' WHERE NOT EXISTS (SELECT Name FROM Contact WHERE Name = 'Tom Atkinson');</v>
      </c>
      <c r="BC2" t="str">
        <f>contactsSQL('Master Table'!BC2)</f>
        <v>INSERT INTO Contact (Name, Email, Phone) SELECT 'Tom Atkinson','Tom.Atkinson@bentley.com','15184415194' WHERE NOT EXISTS (SELECT Name FROM Contact WHERE Name = 'Tom Atkinson');</v>
      </c>
      <c r="BD2" t="str">
        <f>contactsSQL('Master Table'!BD2)</f>
        <v>INSERT INTO Contact (Name, Email, Phone) SELECT 'Fabian Folgar','Fabian.Folgar@bentley.com','16104582928' WHERE NOT EXISTS (SELECT Name FROM Contact WHERE Name = 'Fabian Folgar');INSERT INTO Contact (Name, Email, Phone) SELECT 'Vince DeFlavia','Vince.DeFlavia@bentley.com','16104585184' WHERE NOT EXISTS (SELECT Name FROM Contact WHERE Name = 'Vince DeFlavia');</v>
      </c>
      <c r="BE2" t="str">
        <f>contactsSQL('Master Table'!BE2)</f>
        <v>INSERT INTO Contact (Name, Email, Phone) SELECT 'Eric Crivella','Eric.Crivella@bentley.com','18322172802' WHERE NOT EXISTS (SELECT Name FROM Contact WHERE Name = 'Eric Crivella');</v>
      </c>
      <c r="BF2" t="str">
        <f>contactsSQL('Master Table'!BF2)</f>
        <v>INSERT INTO Contact (Name, Email, Phone) SELECT 'Mary Cay Cousart','MaryCay.Cousart@bentley.com','16104582962' WHERE NOT EXISTS (SELECT Name FROM Contact WHERE Name = 'Mary Cay Cousart');</v>
      </c>
      <c r="BG2" t="str">
        <f>contactsSQL('Master Table'!BG2)</f>
        <v>INSERT INTO Contact (Name, Email, Phone) SELECT 'Tom Atkinson','Tom.Atkinson@bentley.com','15184415194' WHERE NOT EXISTS (SELECT Name FROM Contact WHERE Name = 'Tom Atkinson');</v>
      </c>
      <c r="BH2" t="str">
        <f>contactsSQL('Master Table'!BH2)</f>
        <v>INSERT INTO Contact (Name, Email, Phone) SELECT 'Tom Atkinson','Tom.Atkinson@bentley.com','15184415194' WHERE NOT EXISTS (SELECT Name FROM Contact WHERE Name = 'Tom Atkinson');</v>
      </c>
      <c r="BI2" t="str">
        <f>contactsSQL('Master Table'!BI2)</f>
        <v>INSERT INTO Contact (Name, Email, Phone) SELECT 'Tom Atkinson','Tom.Atkinson@bentley.com','15184415194' WHERE NOT EXISTS (SELECT Name FROM Contact WHERE Name = 'Tom Atkinson');</v>
      </c>
      <c r="BJ2" t="str">
        <f>contactsSQL('Master Table'!BJ2)</f>
        <v>INSERT INTO Contact (Name, Email, Phone) SELECT 'Tom Atkinson','Tom.Atkinson@bentley.com','15184415194' WHERE NOT EXISTS (SELECT Name FROM Contact WHERE Name = 'Tom Atkinson');</v>
      </c>
      <c r="BK2" t="str">
        <f>contactsSQL('Master Table'!BK2)</f>
        <v>INSERT INTO Contact (Name, Email, Phone) SELECT 'Tom Atkinson','Tom.Atkinson@bentley.com','15184415194' WHERE NOT EXISTS (SELECT Name FROM Contact WHERE Name = 'Tom Atkinson');</v>
      </c>
      <c r="BL2" t="str">
        <f>contactsSQL('Master Table'!BL2)</f>
        <v>INSERT INTO Contact (Name, Email, Phone) SELECT 'Tom Atkinson','Tom.Atkinson@bentley.com','15184415194' WHERE NOT EXISTS (SELECT Name FROM Contact WHERE Name = 'Tom Atkinson');</v>
      </c>
    </row>
    <row r="3" spans="3:64" x14ac:dyDescent="0.25">
      <c r="C3" t="str">
        <f>contactsSQL('Master Table'!C3)</f>
        <v>INSERT INTO Contact (Name, Email, Phone) SELECT 'Carlos Aguera','Carlos.Aguera@bentley.com','442078610973' WHERE NOT EXISTS (SELECT Name FROM Contact WHERE Name = 'Carlos Aguera');</v>
      </c>
      <c r="D3" t="str">
        <f>contactsSQL('Master Table'!D3)</f>
        <v>INSERT INTO Contact (Name, Email, Phone) SELECT 'Josh Taylor','Josh.Taylor@bentley.com','7604313610' WHERE NOT EXISTS (SELECT Name FROM Contact WHERE Name = 'Josh Taylor');</v>
      </c>
      <c r="E3" t="str">
        <f>contactsSQL('Master Table'!E3)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3" t="str">
        <f>contactsSQL('Master Table'!F3)</f>
        <v>INSERT INTO Contact (Name, Email, Phone) SELECT 'Parvinder Jhita','Parvinder.Jhita@bentley.com','15043025180' WHERE NOT EXISTS (SELECT Name FROM Contact WHERE Name = 'Parvinder Jhita');</v>
      </c>
      <c r="G3" t="str">
        <f>contactsSQL('Master Table'!G3)</f>
        <v>INSERT INTO Contact (Name, Email, Phone) SELECT 'Pat Couser','Pat.Couser@bentley.com','' WHERE NOT EXISTS (SELECT Name FROM Contact WHERE Name = 'Pat Couser');</v>
      </c>
      <c r="H3" t="str">
        <f>contactsSQL('Master Table'!H3)</f>
        <v>INSERT INTO Contact (Name, Email, Phone) SELECT 'Georgina Maldonado','Georgina.Maldonado@bentley.com','17133608369' WHERE NOT EXISTS (SELECT Name FROM Contact WHERE Name = 'Georgina Maldonado');</v>
      </c>
      <c r="I3" t="str">
        <f>contactsSQL('Master Table'!I3)</f>
        <v>INSERT INTO Contact (Name, Email, Phone) SELECT 'Gregor Strekelj','Gregor.Strekelj@bentley.com','4331682153165' WHERE NOT EXISTS (SELECT Name FROM Contact WHERE Name = 'Gregor Strekelj');</v>
      </c>
      <c r="J3" t="str">
        <f>contactsSQL('Master Table'!J3)</f>
        <v>INSERT INTO Contact (Name, Email, Phone) SELECT 'Xin Luo','Xin.Luo@bentley.com','1954343' WHERE NOT EXISTS (SELECT Name FROM Contact WHERE Name = 'Xin Luo');</v>
      </c>
      <c r="K3" t="str">
        <f>contactsSQL('Master Table'!K3)</f>
        <v>INSERT INTO Contact (Name, Email, Phone) SELECT 'Sri Kanneganti','Sri.Kanneganti@bentley.com','19543439325' WHERE NOT EXISTS (SELECT Name FROM Contact WHERE Name = 'Sri Kanneganti');</v>
      </c>
      <c r="L3" t="str">
        <f>contactsSQL('Master Table'!L3)</f>
        <v>INSERT INTO Contact (Name, Email, Phone) SELECT 'Bill Beyer','Bill.Beyer@bentley.com','18166667568' WHERE NOT EXISTS (SELECT Name FROM Contact WHERE Name = 'Bill Beyer');</v>
      </c>
      <c r="M3" t="str">
        <f>contactsSQL('Master Table'!M3)</f>
        <v>INSERT INTO Contact (Name, Email, Phone) SELECT 'David Settlemeyer','David.Settlemyer@bentley.com','16103214610' WHERE NOT EXISTS (SELECT Name FROM Contact WHERE Name = 'David Settlemeyer');</v>
      </c>
      <c r="N3" t="str">
        <f>contactsSQL('Master Table'!N3)</f>
        <v>INSERT INTO Contact (Name, Email, Phone) SELECT 'Andy Smith','Andy.Smith@bentley.com','7046630319' WHERE NOT EXISTS (SELECT Name FROM Contact WHERE Name = 'Andy Smith');</v>
      </c>
      <c r="O3" t="str">
        <f>contactsSQL('Master Table'!O3)</f>
        <v>INSERT INTO Contact (Name, Email, Phone) SELECT 'Andy Smith','Andy.Smith@bentley.com','7046630319' WHERE NOT EXISTS (SELECT Name FROM Contact WHERE Name = 'Andy Smith');</v>
      </c>
      <c r="P3" t="str">
        <f>contactsSQL('Master Table'!P3)</f>
        <v>INSERT INTO Contact (Name, Email, Phone) SELECT 'Paul Demetriou','Paul.Demetriou@bentley.com','12088879204' WHERE NOT EXISTS (SELECT Name FROM Contact WHERE Name = 'Paul Demetriou');</v>
      </c>
      <c r="Q3" t="str">
        <f>contactsSQL('Master Table'!Q3)</f>
        <v>INSERT INTO Contact (Name, Email, Phone) SELECT 'Ian Rosam','Ian.Rosam@bentley.com','442078610' WHERE NOT EXISTS (SELECT Name FROM Contact WHERE Name = 'Ian Rosam');</v>
      </c>
      <c r="R3" t="str">
        <f>contactsSQL('Master Table'!R3)</f>
        <v>INSERT INTO Contact (Name, Email, Phone) SELECT 'Ian Rosam','Ian.Rosam@bentley.com','442078610313' WHERE NOT EXISTS (SELECT Name FROM Contact WHERE Name = 'Ian Rosam');</v>
      </c>
      <c r="S3" t="str">
        <f>contactsSQL('Master Table'!S3)</f>
        <v>INSERT INTO Contact (Name, Email, Phone) SELECT 'Ian Rosam','Ian.Rosam@bentley.com','442078610313' WHERE NOT EXISTS (SELECT Name FROM Contact WHERE Name = 'Ian Rosam');</v>
      </c>
      <c r="T3" t="str">
        <f>contactsSQL('Master Table'!T3)</f>
        <v>INSERT INTO Contact (Name, Email, Phone) SELECT 'Kivanc Karakas','Kivanc.Karakas@bentley.com','442078610339' WHERE NOT EXISTS (SELECT Name FROM Contact WHERE Name = 'Kivanc Karakas');</v>
      </c>
      <c r="U3" t="str">
        <f>contactsSQL('Master Table'!U3)</f>
        <v>INSERT INTO Contact (Name, Email, Phone) SELECT 'Ian Rosam','Ian.Rosam@bentley.com','442078610' WHERE NOT EXISTS (SELECT Name FROM Contact WHERE Name = 'Ian Rosam');</v>
      </c>
      <c r="V3" t="str">
        <f>contactsSQL('Master Table'!V3)</f>
        <v>INSERT INTO Contact (Name, Email, Phone) SELECT 'Francois Valois','Francois.Valois@bentley.com','15817817522' WHERE NOT EXISTS (SELECT Name FROM Contact WHERE Name = 'Francois Valois');</v>
      </c>
      <c r="W3" t="str">
        <f>contactsSQL('Master Table'!W3)</f>
        <v>INSERT INTO Contact (Name, Email, Phone) SELECT 'Nicolas Loubier','Nicolas.Loubier@bentley.com','15817817567' WHERE NOT EXISTS (SELECT Name FROM Contact WHERE Name = 'Nicolas Loubier');</v>
      </c>
      <c r="X3" t="str">
        <f>contactsSQL('Master Table'!X3)</f>
        <v>INSERT INTO Contact (Name, Email, Phone) SELECT 'Adnan Ulhaq','Adnan.Ulhaq@bentley.com','92512078422' WHERE NOT EXISTS (SELECT Name FROM Contact WHERE Name = 'Adnan Ulhaq');</v>
      </c>
      <c r="Y3" t="str">
        <f>contactsSQL('Master Table'!Y3)</f>
        <v>INSERT INTO Contact (Name, Email, Phone) SELECT 'Tim Lawrence','Tim.Lawrence@bentley.com','1' WHERE NOT EXISTS (SELECT Name FROM Contact WHERE Name = 'Tim Lawrence');</v>
      </c>
      <c r="Z3" t="str">
        <f>contactsSQL('Master Table'!Z3)</f>
        <v>INSERT INTO Contact (Name, Email, Phone) SELECT 'Abbas Ali','','16104583160' WHERE NOT EXISTS (SELECT Name FROM Contact WHERE Name = 'Abbas Ali');</v>
      </c>
      <c r="AA3" t="str">
        <f>contactsSQL('Master Table'!AA3)</f>
        <v>INSERT INTO Contact (Name, Email, Phone) SELECT 'Rob Harper','Rob.Harper@bentley.com','17137303385' WHERE NOT EXISTS (SELECT Name FROM Contact WHERE Name = 'Rob Harper');</v>
      </c>
      <c r="AB3" t="str">
        <f>contactsSQL('Master Table'!AB3)</f>
        <v>INSERT INTO Contact (Name, Email, Phone) SELECT 'Alain Beland','Alain.Beland@bentley.com','14188802022' WHERE NOT EXISTS (SELECT Name FROM Contact WHERE Name = 'Alain Beland');</v>
      </c>
      <c r="AC3" t="str">
        <f>contactsSQL('Master Table'!AC3)</f>
        <v>INSERT INTO Contact (Name, Email, Phone) SELECT 'Tim Lawrence','Tim.Lawrence@bentley.com','15873158588' WHERE NOT EXISTS (SELECT Name FROM Contact WHERE Name = 'Tim Lawrence');</v>
      </c>
      <c r="AD3" t="str">
        <f>contactsSQL('Master Table'!AD3)</f>
        <v>INSERT INTO Contact (Name, Email, Phone) SELECT 'Benoit Frederique','Benoit.Fredericque@bentley.com','' WHERE NOT EXISTS (SELECT Name FROM Contact WHERE Name = 'Benoit Frederique');</v>
      </c>
      <c r="AE3" t="str">
        <f>contactsSQL('Master Table'!AE3)</f>
        <v>INSERT INTO Contact (Name, Email, Phone) SELECT 'Benoit Frederique','Benoit.Fredericque@bentley.com','' WHERE NOT EXISTS (SELECT Name FROM Contact WHERE Name = 'Benoit Frederique');</v>
      </c>
      <c r="AF3" t="str">
        <f>contactsSQL('Master Table'!AF3)</f>
        <v>INSERT INTO Contact (Name, Email, Phone) SELECT 'Benoit Frederique','Benoit.Fredericque@bentley.com','' WHERE NOT EXISTS (SELECT Name FROM Contact WHERE Name = 'Benoit Frederique');</v>
      </c>
      <c r="AG3" t="str">
        <f>contactsSQL('Master Table'!AG3)</f>
        <v>INSERT INTO Contact (Name, Email, Phone) SELECT 'Benoit Frederique','Benoit.Fredericque@bentley.com','' WHERE NOT EXISTS (SELECT Name FROM Contact WHERE Name = 'Benoit Frederique');</v>
      </c>
      <c r="AH3" t="str">
        <f>contactsSQL('Master Table'!AH3)</f>
        <v>INSERT INTO Contact (Name, Email, Phone) SELECT 'Jim Barr','Jim.Barr@bentley.com','12567241520' WHERE NOT EXISTS (SELECT Name FROM Contact WHERE Name = 'Jim Barr');</v>
      </c>
      <c r="AI3" t="str">
        <f>contactsSQL('Master Table'!AI3)</f>
        <v>INSERT INTO Contact (Name, Email, Phone) SELECT 'Slavica Bozic','Slavica.Bozic@bentley.com','1630' WHERE NOT EXISTS (SELECT Name FROM Contact WHERE Name = 'Slavica Bozic');</v>
      </c>
      <c r="AJ3" t="str">
        <f>contactsSQL('Master Table'!AJ3)</f>
        <v>INSERT INTO Contact (Name, Email, Phone) SELECT 'Jim Newman','Jim.Newman@bentley.com','17044332566' WHERE NOT EXISTS (SELECT Name FROM Contact WHERE Name = 'Jim Newman');</v>
      </c>
      <c r="AK3" t="str">
        <f>contactsSQL('Master Table'!AK3)</f>
        <v>INSERT INTO Contact (Name, Email, Phone) SELECT 'Aaron Beazley','Aaron.Beazley@bentley.com','12898162642' WHERE NOT EXISTS (SELECT Name FROM Contact WHERE Name = 'Aaron Beazley');</v>
      </c>
      <c r="AL3" t="str">
        <f>contactsSQL('Master Table'!AL3)</f>
        <v>INSERT INTO Contact (Name, Email, Phone) SELECT 'Gijsbert Noordam','Gijsbert.Noordam@bentley.com','31235560626' WHERE NOT EXISTS (SELECT Name FROM Contact WHERE Name = 'Gijsbert Noordam');</v>
      </c>
      <c r="AM3" t="str">
        <f>contactsSQL('Master Table'!AM3)</f>
        <v>INSERT INTO Contact (Name, Email, Phone) SELECT 'Gregg Herrin','Gregg.Herrin@bentley.com','16104583188' WHERE NOT EXISTS (SELECT Name FROM Contact WHERE Name = 'Gregg Herrin');</v>
      </c>
      <c r="AN3" t="str">
        <f>contactsSQL('Master Table'!AN3)</f>
        <v>INSERT INTO Contact (Name, Email, Phone) SELECT 'Gijsbert Noordam','Gijsbert.Noordam@bentley.com','31235560626' WHERE NOT EXISTS (SELECT Name FROM Contact WHERE Name = 'Gijsbert Noordam');</v>
      </c>
      <c r="AO3" t="str">
        <f>contactsSQL('Master Table'!AO3)</f>
        <v>INSERT INTO Contact (Name, Email, Phone) SELECT 'Russell Page','Russell.Page@bentley.com','13032210689' WHERE NOT EXISTS (SELECT Name FROM Contact WHERE Name = 'Russell Page');</v>
      </c>
      <c r="AP3" t="str">
        <f>contactsSQL('Master Table'!AP3)</f>
        <v>INSERT INTO Contact (Name, Email, Phone) SELECT 'Mal Sharkey','Mal.Sharkey@bentley.com','61396978623' WHERE NOT EXISTS (SELECT Name FROM Contact WHERE Name = 'Mal Sharkey');</v>
      </c>
      <c r="AQ3" t="str">
        <f>contactsSQL('Master Table'!AQ3)</f>
        <v>INSERT INTO Contact (Name, Email, Phone) SELECT 'Aaron Beazily','Aaron.Beazley@bentley.com','12898162642' WHERE NOT EXISTS (SELECT Name FROM Contact WHERE Name = 'Aaron Beazily');</v>
      </c>
      <c r="AR3" t="str">
        <f>contactsSQL('Master Table'!AR3)</f>
        <v>INSERT INTO Contact (Name, Email, Phone) SELECT 'Jim Scott','Jim.Scott@bentley.com','13039670864' WHERE NOT EXISTS (SELECT Name FROM Contact WHERE Name = 'Jim Scott');</v>
      </c>
      <c r="AS3" t="str">
        <f>contactsSQL('Master Table'!AS3)</f>
        <v>INSERT INTO Contact (Name, Email, Phone) SELECT 'Duncan Rodger','Duncan.Rodger@bentley.com','441349865554' WHERE NOT EXISTS (SELECT Name FROM Contact WHERE Name = 'Duncan Rodger');</v>
      </c>
      <c r="AT3" t="str">
        <f>contactsSQL('Master Table'!AT3)</f>
        <v>INSERT INTO Contact (Name, Email, Phone) SELECT 'Taylor Gilmore','Taylor.Gilmore@bentley.com','14126811521' WHERE NOT EXISTS (SELECT Name FROM Contact WHERE Name = 'Taylor Gilmore');</v>
      </c>
      <c r="AU3" t="str">
        <f>contactsSQL('Master Table'!AU3)</f>
        <v>INSERT INTO Contact (Name, Email, Phone) SELECT 'Paolomee Udani','Paolomee.Udani@bentley.com','19252745107' WHERE NOT EXISTS (SELECT Name FROM Contact WHERE Name = 'Paolomee Udani');</v>
      </c>
      <c r="AV3" t="str">
        <f>contactsSQL('Master Table'!AV3)</f>
        <v>INSERT INTO Contact (Name, Email, Phone) SELECT 'Bill McNamara','Bill.McNamara@bentley.com','16104587602' WHERE NOT EXISTS (SELECT Name FROM Contact WHERE Name = 'Bill McNamara');</v>
      </c>
      <c r="AW3" t="str">
        <f>contactsSQL('Master Table'!AW3)</f>
        <v>INSERT INTO Contact (Name, Email, Phone) SELECT 'Bill McNamara','Bill.McNamara@bentley.com','16104587602' WHERE NOT EXISTS (SELECT Name FROM Contact WHERE Name = 'Bill McNamara');</v>
      </c>
      <c r="AX3" t="str">
        <f>contactsSQL('Master Table'!AX3)</f>
        <v>INSERT INTO Contact (Name, Email, Phone) SELECT 'Bill McNamara','Bill.McNamara@bentley.com','16104587602' WHERE NOT EXISTS (SELECT Name FROM Contact WHERE Name = 'Bill McNamara');</v>
      </c>
      <c r="AY3" t="str">
        <f>contactsSQL('Master Table'!AY3)</f>
        <v>INSERT INTO Contact (Name, Email, Phone) SELECT 'Bill McNamara','Bill.McNamara@bentley.com','16104587602' WHERE NOT EXISTS (SELECT Name FROM Contact WHERE Name = 'Bill McNamara');</v>
      </c>
      <c r="AZ3" t="str">
        <f>contactsSQL('Master Table'!AZ3)</f>
        <v>INSERT INTO Contact (Name, Email, Phone) SELECT 'Bill McNamara','Bill.McNamara@bentley.com','16104587602' WHERE NOT EXISTS (SELECT Name FROM Contact WHERE Name = 'Bill McNamara');</v>
      </c>
      <c r="BA3" t="str">
        <f>contactsSQL('Master Table'!BA3)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3" t="str">
        <f>contactsSQL('Master Table'!BB3)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3" t="str">
        <f>contactsSQL('Master Table'!BC3)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3" t="str">
        <f>contactsSQL('Master Table'!BD3)</f>
        <v>INSERT INTO Contact (Name, Email, Phone) SELECT 'Joe Granville','Joe.Granville@bentley.com','16104582951' WHERE NOT EXISTS (SELECT Name FROM Contact WHERE Name = 'Joe Granville');</v>
      </c>
      <c r="BE3" t="str">
        <f>contactsSQL('Master Table'!BE3)</f>
        <v>INSERT INTO Contact (Name, Email, Phone) SELECT 'Beth Buerger','Beth.Buerger@bentley.com','17205283380' WHERE NOT EXISTS (SELECT Name FROM Contact WHERE Name = 'Beth Buerger');</v>
      </c>
      <c r="BF3" t="str">
        <f>contactsSQL('Master Table'!BF3)</f>
        <v>INSERT INTO Contact (Name, Email, Phone) SELECT 'Sam Stuart','Sam.Stuart@bentley.com','' WHERE NOT EXISTS (SELECT Name FROM Contact WHERE Name = 'Sam Stuart');</v>
      </c>
      <c r="BG3" t="str">
        <f>contactsSQL('Master Table'!BG3)</f>
        <v>INSERT INTO Contact (Name, Email, Phone) SELECT 'Rimantas Varanavicius','imantas.Varanavicius@bentley.com','37052398145' WHERE NOT EXISTS (SELECT Name FROM Contact WHERE Name = 'Rimantas Varanavicius');</v>
      </c>
      <c r="BH3" t="str">
        <f>contactsSQL('Master Table'!BH3)</f>
        <v>INSERT INTO Contact (Name, Email, Phone) SELECT 'Jo Wright','Jo.Wright@bentley.com','12569701111' WHERE NOT EXISTS (SELECT Name FROM Contact WHERE Name = 'Jo Wright');</v>
      </c>
      <c r="BI3" t="str">
        <f>contactsSQL('Master Table'!BI3)</f>
        <v>INSERT INTO Contact (Name, Email, Phone) SELECT 'Jo Wright','Jo.Wright@bentley.com','12569701111' WHERE NOT EXISTS (SELECT Name FROM Contact WHERE Name = 'Jo Wright');</v>
      </c>
      <c r="BJ3" t="str">
        <f>contactsSQL('Master Table'!BJ3)</f>
        <v>INSERT INTO Contact (Name, Email, Phone) SELECT 'Jo Wright','Jo.Wright@bentley.com','12569701111' WHERE NOT EXISTS (SELECT Name FROM Contact WHERE Name = 'Jo Wright');</v>
      </c>
      <c r="BK3" t="str">
        <f>contactsSQL('Master Table'!BK3)</f>
        <v>INSERT INTO Contact (Name, Email, Phone) SELECT 'Jo Wright','Jo.Wright@bentley.com','12569701111' WHERE NOT EXISTS (SELECT Name FROM Contact WHERE Name = 'Jo Wright');</v>
      </c>
      <c r="BL3" t="str">
        <f>contactsSQL('Master Table'!BL3)</f>
        <v>INSERT INTO Contact (Name, Email, Phone) SELECT 'Jo Wright','Jo.Wright@bentley.com','12569701111' WHERE NOT EXISTS (SELECT Name FROM Contact WHERE Name = 'Jo Wright');</v>
      </c>
    </row>
    <row r="4" spans="3:64" x14ac:dyDescent="0.25">
      <c r="C4" t="str">
        <f>contactsSQL('Master Table'!C4)</f>
        <v>INSERT INTO Contact (Name, Email, Phone) SELECT 'Karimu Rashad','Karimu.Rashad@bentley.com','17146856454' WHERE NOT EXISTS (SELECT Name FROM Contact WHERE Name = 'Karimu Rashad');</v>
      </c>
      <c r="D4" t="str">
        <f>contactsSQL('Master Table'!D4)</f>
        <v>INSERT INTO Contact (Name, Email, Phone) SELECT 'Karl Gullerud','Karl.Gullerud@bentley.com','' WHERE NOT EXISTS (SELECT Name FROM Contact WHERE Name = 'Karl Gullerud');</v>
      </c>
      <c r="E4" t="str">
        <f>contactsSQL('Master Table'!E4)</f>
        <v>INSERT INTO Contact (Name, Email, Phone) SELECT 'Mike Dattilio','Mike.Dattilio@bentley.com','' WHERE NOT EXISTS (SELECT Name FROM Contact WHERE Name = 'Mike Dattilio');</v>
      </c>
      <c r="F4" t="str">
        <f>contactsSQL('Master Table'!F4)</f>
        <v>INSERT INTO Contact (Name, Email, Phone) SELECT 'Geoff McDonald','Geoff.Mcdonald@bentley.com','15043025174' WHERE NOT EXISTS (SELECT Name FROM Contact WHERE Name = 'Geoff McDonald');</v>
      </c>
      <c r="G4" t="str">
        <f>contactsSQL('Master Table'!G4)</f>
        <v>INSERT INTO Contact (Name, Email, Phone) SELECT 'Ian Sevilla','Ian.Sevilla@bentley.com','61894311511' WHERE NOT EXISTS (SELECT Name FROM Contact WHERE Name = 'Ian Sevilla');</v>
      </c>
      <c r="H4" t="str">
        <f>contactsSQL('Master Table'!H4)</f>
        <v>INSERT INTO Contact (Name, Email, Phone) SELECT 'Aswin Bandaru','Aswin.Bandaru@bentley.com','17137842837' WHERE NOT EXISTS (SELECT Name FROM Contact WHERE Name = 'Aswin Bandaru');</v>
      </c>
      <c r="I4" t="str">
        <f>contactsSQL('Master Table'!I4)</f>
        <v>INSERT INTO Contact (Name, Email, Phone) SELECT 'Diether Wagner','Diether.Wagner@bentley.com','4331682153162' WHERE NOT EXISTS (SELECT Name FROM Contact WHERE Name = 'Diether Wagner');</v>
      </c>
      <c r="J4" t="str">
        <f>contactsSQL('Master Table'!J4)</f>
        <v>INSERT INTO Contact (Name, Email, Phone) SELECT 'Dilip Matange','Dilip.Matange@bentley.com','19543439338' WHERE NOT EXISTS (SELECT Name FROM Contact WHERE Name = 'Dilip Matange');</v>
      </c>
      <c r="K4" t="str">
        <f>contactsSQL('Master Table'!K4)</f>
        <v>INSERT INTO Contact (Name, Email, Phone) SELECT 'Dilip Matange','Dilip.Matange@bentley.com','19543439338' WHERE NOT EXISTS (SELECT Name FROM Contact WHERE Name = 'Dilip Matange');</v>
      </c>
      <c r="L4" t="str">
        <f>contactsSQL('Master Table'!L4)</f>
        <v>INSERT INTO Contact (Name, Email, Phone) SELECT 'Dilip Matange','Dilip.Matange@bentley.com','19543439338' WHERE NOT EXISTS (SELECT Name FROM Contact WHERE Name = 'Dilip Matange');</v>
      </c>
      <c r="M4" t="str">
        <f>contactsSQL('Master Table'!M4)</f>
        <v>INSERT INTO Contact (Name, Email, Phone) SELECT 'Chris Croucher','Chris.Croucher@bentley.com','16103214606' WHERE NOT EXISTS (SELECT Name FROM Contact WHERE Name = 'Chris Croucher');</v>
      </c>
      <c r="N4" t="str">
        <f>contactsSQL('Master Table'!N4)</f>
        <v>INSERT INTO Contact (Name, Email, Phone) SELECT 'Joel Rosenbaum','Joel.Rosenbaum@bentley.com','12314218134' WHERE NOT EXISTS (SELECT Name FROM Contact WHERE Name = 'Joel Rosenbaum');</v>
      </c>
      <c r="O4" t="str">
        <f>contactsSQL('Master Table'!O4)</f>
        <v>INSERT INTO Contact (Name, Email, Phone) SELECT 'Steve Brown','Steve.Brown@bentley.com','44' WHERE NOT EXISTS (SELECT Name FROM Contact WHERE Name = 'Steve Brown');</v>
      </c>
      <c r="P4" t="str">
        <f>contactsSQL('Master Table'!P4)</f>
        <v>INSERT INTO Contact (Name, Email, Phone) SELECT 'Joel Rosenbaum','Joel.Rosenbaum@bentley.com','12314218134' WHERE NOT EXISTS (SELECT Name FROM Contact WHERE Name = 'Joel Rosenbaum');</v>
      </c>
      <c r="Q4" t="str">
        <f>contactsSQL('Master Table'!Q4)</f>
        <v>INSERT INTO Contact (Name, Email, Phone) SELECT 'Derricke Gray','Derricke.Gray@bentley.com','18504433817' WHERE NOT EXISTS (SELECT Name FROM Contact WHERE Name = 'Derricke Gray');</v>
      </c>
      <c r="R4" t="str">
        <f>contactsSQL('Master Table'!R4)</f>
        <v>INSERT INTO Contact (Name, Email, Phone) SELECT 'Derricke Gray','Derricke.Gray@bentley.com','18504433817' WHERE NOT EXISTS (SELECT Name FROM Contact WHERE Name = 'Derricke Gray');</v>
      </c>
      <c r="S4" t="str">
        <f>contactsSQL('Master Table'!S4)</f>
        <v>INSERT INTO Contact (Name, Email, Phone) SELECT 'Derricke Gray','Derricke.Gray@bentley.com','18504433817' WHERE NOT EXISTS (SELECT Name FROM Contact WHERE Name = 'Derricke Gray');</v>
      </c>
      <c r="T4" t="str">
        <f>contactsSQL('Master Table'!T4)</f>
        <v>INSERT INTO Contact (Name, Email, Phone) SELECT 'Lisa Whitson','Lisa.Whitson@bentley.com','12569701126' WHERE NOT EXISTS (SELECT Name FROM Contact WHERE Name = 'Lisa Whitson');</v>
      </c>
      <c r="U4" t="str">
        <f>contactsSQL('Master Table'!U4)</f>
        <v>INSERT INTO Contact (Name, Email, Phone) SELECT 'Derricke Gray','Derricke.Gray@bentley.com','18504433817' WHERE NOT EXISTS (SELECT Name FROM Contact WHERE Name = 'Derricke Gray');</v>
      </c>
      <c r="V4" t="str">
        <f>contactsSQL('Master Table'!V4)</f>
        <v>INSERT INTO Contact (Name, Email, Phone) SELECT 'Kevin McDonald','Kevin.McDonald@bentley.com','12569701123' WHERE NOT EXISTS (SELECT Name FROM Contact WHERE Name = 'Kevin McDonald');</v>
      </c>
      <c r="W4" t="str">
        <f>contactsSQL('Master Table'!W4)</f>
        <v>INSERT INTO Contact (Name, Email, Phone) SELECT 'Katie Aguilar','Katie.Aguilar@bentley.com','16782341311' WHERE NOT EXISTS (SELECT Name FROM Contact WHERE Name = 'Katie Aguilar');</v>
      </c>
      <c r="X4" t="str">
        <f>contactsSQL('Master Table'!X4)</f>
        <v>INSERT INTO Contact (Name, Email, Phone) SELECT 'Ed Krkoska','Ed.Krkoska@bentley.com','16104582787' WHERE NOT EXISTS (SELECT Name FROM Contact WHERE Name = 'Ed Krkoska');</v>
      </c>
      <c r="Y4" t="str">
        <f>contactsSQL('Master Table'!Y4)</f>
        <v>INSERT INTO Contact (Name, Email, Phone) SELECT 'Tim Lawrence','Tim.Lawrence@bentley.com','15873158588' WHERE NOT EXISTS (SELECT Name FROM Contact WHERE Name = 'Tim Lawrence');</v>
      </c>
      <c r="Z4" t="str">
        <f>contactsSQL('Master Table'!Z4)</f>
        <v>INSERT INTO Contact (Name, Email, Phone) SELECT 'Rich Scotti','Rich.Scotti@bentley.com','1' WHERE NOT EXISTS (SELECT Name FROM Contact WHERE Name = 'Rich Scotti');</v>
      </c>
      <c r="AA4" t="str">
        <f>contactsSQL('Master Table'!AA4)</f>
        <v>INSERT INTO Contact (Name, Email, Phone) SELECT 'Ari Rantasalo','Ari.Rantasalo@bentley.com','17134443820' WHERE NOT EXISTS (SELECT Name FROM Contact WHERE Name = 'Ari Rantasalo');</v>
      </c>
      <c r="AB4" t="str">
        <f>contactsSQL('Master Table'!AB4)</f>
        <v>INSERT INTO Contact (Name, Email, Phone) SELECT 'Alain Beland','Alain.Beland@bentley.com','14188802022' WHERE NOT EXISTS (SELECT Name FROM Contact WHERE Name = 'Alain Beland');</v>
      </c>
      <c r="AC4" t="str">
        <f>contactsSQL('Master Table'!AC4)</f>
        <v>INSERT INTO Contact (Name, Email, Phone) SELECT 'Peter Alspaugh','Peter.Alspaugh@bentley.com','18322172816' WHERE NOT EXISTS (SELECT Name FROM Contact WHERE Name = 'Peter Alspaugh');</v>
      </c>
      <c r="AD4" t="str">
        <f>contactsSQL('Master Table'!AD4)</f>
        <v>INSERT INTO Contact (Name, Email, Phone) SELECT 'Mike Barkasi','Mike.Barkasi@bentley.com','16103216357' WHERE NOT EXISTS (SELECT Name FROM Contact WHERE Name = 'Mike Barkasi');</v>
      </c>
      <c r="AE4" t="str">
        <f>contactsSQL('Master Table'!AE4)</f>
        <v>INSERT INTO Contact (Name, Email, Phone) SELECT 'Mike Barkasi','Mike.Barkasi@bentley.com','16103216357' WHERE NOT EXISTS (SELECT Name FROM Contact WHERE Name = 'Mike Barkasi');</v>
      </c>
      <c r="AF4" t="str">
        <f>contactsSQL('Master Table'!AF4)</f>
        <v>INSERT INTO Contact (Name, Email, Phone) SELECT 'Mike Barkasi','Mike.Barkasi@bentley.com','16103216357' WHERE NOT EXISTS (SELECT Name FROM Contact WHERE Name = 'Mike Barkasi');</v>
      </c>
      <c r="AG4" t="str">
        <f>contactsSQL('Master Table'!AG4)</f>
        <v>INSERT INTO Contact (Name, Email, Phone) SELECT 'Mike Barkasi','Mike.Barkasi@bentley.com','16103216357' WHERE NOT EXISTS (SELECT Name FROM Contact WHERE Name = 'Mike Barkasi');</v>
      </c>
      <c r="AH4" t="str">
        <f>contactsSQL('Master Table'!AH4)</f>
        <v>INSERT INTO Contact (Name, Email, Phone) SELECT 'Jim Barr','Jim.Barr@bentley.com','12567241520' WHERE NOT EXISTS (SELECT Name FROM Contact WHERE Name = 'Jim Barr');</v>
      </c>
      <c r="AI4" t="str">
        <f>contactsSQL('Master Table'!AI4)</f>
        <v>INSERT INTO Contact (Name, Email, Phone) SELECT 'John Zwerlein','John.Zwerlein@bentley.com','19252745101' WHERE NOT EXISTS (SELECT Name FROM Contact WHERE Name = 'John Zwerlein');</v>
      </c>
      <c r="AJ4" t="str">
        <f>contactsSQL('Master Table'!AJ4)</f>
        <v>INSERT INTO Contact (Name, Email, Phone) SELECT 'Cindy Stephens','Cindy.Stephens@bentley.com','1858' WHERE NOT EXISTS (SELECT Name FROM Contact WHERE Name = 'Cindy Stephens');</v>
      </c>
      <c r="AK4" t="str">
        <f>contactsSQL('Master Table'!AK4)</f>
        <v>INSERT INTO Contact (Name, Email, Phone) SELECT 'David Crozier','David.Crozier@bentley.com','1360531' WHERE NOT EXISTS (SELECT Name FROM Contact WHERE Name = 'David Crozier');</v>
      </c>
      <c r="AL4" t="str">
        <f>contactsSQL('Master Table'!AL4)</f>
        <v>INSERT INTO Contact (Name, Email, Phone) SELECT 'Linda Oliveira','Linda.Oliveira@bentley.com','16104586084' WHERE NOT EXISTS (SELECT Name FROM Contact WHERE Name = 'Linda Oliveira');</v>
      </c>
      <c r="AM4" t="str">
        <f>contactsSQL('Master Table'!AM4)</f>
        <v>INSERT INTO Contact (Name, Email, Phone) SELECT 'Linda Oliveira','Linda.Oliveira@bentley.com','16104586084' WHERE NOT EXISTS (SELECT Name FROM Contact WHERE Name = 'Linda Oliveira');</v>
      </c>
      <c r="AN4" t="str">
        <f>contactsSQL('Master Table'!AN4)</f>
        <v>INSERT INTO Contact (Name, Email, Phone) SELECT 'Lon Opp','Lon.Opp@bentley.com','12569701127' WHERE NOT EXISTS (SELECT Name FROM Contact WHERE Name = 'Lon Opp');</v>
      </c>
      <c r="AO4" t="str">
        <f>contactsSQL('Master Table'!AO4)</f>
        <v>INSERT INTO Contact (Name, Email, Phone) SELECT 'Clive Hackforth','Clive.Hackforth@bentley.com','442078610933' WHERE NOT EXISTS (SELECT Name FROM Contact WHERE Name = 'Clive Hackforth');</v>
      </c>
      <c r="AP4" t="str">
        <f>contactsSQL('Master Table'!AP4)</f>
        <v>INSERT INTO Contact (Name, Email, Phone) SELECT 'Kristen Dietrich','Kristen.Dietrich@bentley.com','12038050414' WHERE NOT EXISTS (SELECT Name FROM Contact WHERE Name = 'Kristen Dietrich');</v>
      </c>
      <c r="AQ4" t="str">
        <f>contactsSQL('Master Table'!AQ4)</f>
        <v>INSERT INTO Contact (Name, Email, Phone) SELECT 'Joanna Slowinska','Joanna.Slowinska@bentley.com','442078610317' WHERE NOT EXISTS (SELECT Name FROM Contact WHERE Name = 'Joanna Slowinska');</v>
      </c>
      <c r="AR4" t="str">
        <f>contactsSQL('Master Table'!AR4)</f>
        <v>INSERT INTO Contact (Name, Email, Phone) SELECT 'Richard Ellis','Richard.Ellis@bentley.com','6421611832' WHERE NOT EXISTS (SELECT Name FROM Contact WHERE Name = 'Richard Ellis');</v>
      </c>
      <c r="AS4" t="str">
        <f>contactsSQL('Master Table'!AS4)</f>
        <v>INSERT INTO Contact (Name, Email, Phone) SELECT 'Neil Pickin','Neil.Pickin@bentley.com','441619731462' WHERE NOT EXISTS (SELECT Name FROM Contact WHERE Name = 'Neil Pickin');</v>
      </c>
      <c r="AT4" t="str">
        <f>contactsSQL('Master Table'!AT4)</f>
        <v>INSERT INTO Contact (Name, Email, Phone) SELECT 'Rick Wagner','Rick.Wagner@bentley.com','14122303041' WHERE NOT EXISTS (SELECT Name FROM Contact WHERE Name = 'Rick Wagner');</v>
      </c>
      <c r="AU4" t="str">
        <f>contactsSQL('Master Table'!AU4)</f>
        <v>INSERT INTO Contact (Name, Email, Phone) SELECT 'Paul Johnson','Paul.Johnson@bentley.com','16104583191' WHERE NOT EXISTS (SELECT Name FROM Contact WHERE Name = 'Paul Johnson');</v>
      </c>
      <c r="AV4" t="str">
        <f>contactsSQL('Master Table'!AV4)</f>
        <v>INSERT INTO Contact (Name, Email, Phone) SELECT 'Dana Guthrie','Dana.Guthrie@bentley.com','16104582619' WHERE NOT EXISTS (SELECT Name FROM Contact WHERE Name = 'Dana Guthrie');</v>
      </c>
      <c r="AW4" t="str">
        <f>contactsSQL('Master Table'!AW4)</f>
        <v>INSERT INTO Contact (Name, Email, Phone) SELECT 'Ranveer Basra','Ranveer.Basra@bentley.com','16104582950' WHERE NOT EXISTS (SELECT Name FROM Contact WHERE Name = 'Ranveer Basra');</v>
      </c>
      <c r="AX4" t="str">
        <f>contactsSQL('Master Table'!AX4)</f>
        <v>INSERT INTO Contact (Name, Email, Phone) SELECT 'Raul Guerrero','Raul.Guerrero@bentley.com','17146856467' WHERE NOT EXISTS (SELECT Name FROM Contact WHERE Name = 'Raul Guerrero');</v>
      </c>
      <c r="AY4" t="str">
        <f>contactsSQL('Master Table'!AY4)</f>
        <v>INSERT INTO Contact (Name, Email, Phone) SELECT 'Raul Guerrero','Raul.Guerrero@bentley.com','17146856467' WHERE NOT EXISTS (SELECT Name FROM Contact WHERE Name = 'Raul Guerrero');</v>
      </c>
      <c r="AZ4" t="str">
        <f>contactsSQL('Master Table'!AZ4)</f>
        <v>INSERT INTO Contact (Name, Email, Phone) SELECT 'Vickie Hewitt','Vickie.Hewitt@bentley.com','16104582722' WHERE NOT EXISTS (SELECT Name FROM Contact WHERE Name = 'Vickie Hewitt');</v>
      </c>
      <c r="BA4" t="str">
        <f>contactsSQL('Master Table'!BA4)</f>
        <v>INSERT INTO Contact (Name, Email, Phone) SELECT 'Ranveer Basra','Ranveer.Basra@bentley.com','16104582950' WHERE NOT EXISTS (SELECT Name FROM Contact WHERE Name = 'Ranveer Basra');</v>
      </c>
      <c r="BB4" t="str">
        <f>contactsSQL('Master Table'!BB4)</f>
        <v>INSERT INTO Contact (Name, Email, Phone) SELECT 'Ranveer Basra','Ranveer.Basra@bentley.com','16104582950' WHERE NOT EXISTS (SELECT Name FROM Contact WHERE Name = 'Ranveer Basra');</v>
      </c>
      <c r="BC4" t="str">
        <f>contactsSQL('Master Table'!BC4)</f>
        <v>INSERT INTO Contact (Name, Email, Phone) SELECT 'Ranveer Basra','Ranveer.Basra@bentley.com','16104582950' WHERE NOT EXISTS (SELECT Name FROM Contact WHERE Name = 'Ranveer Basra');</v>
      </c>
      <c r="BD4" t="str">
        <f>contactsSQL('Master Table'!BD4)</f>
        <v>INSERT INTO Contact (Name, Email, Phone) SELECT 'Paul Johnson','Paul.Johnson@bentley.com','16104583191' WHERE NOT EXISTS (SELECT Name FROM Contact WHERE Name = 'Paul Johnson');</v>
      </c>
      <c r="BE4" t="str">
        <f>contactsSQL('Master Table'!BE4)</f>
        <v>INSERT INTO Contact (Name, Email, Phone) SELECT 'Paul Johnson','Paul.Johnson@bentley.com','16104583191' WHERE NOT EXISTS (SELECT Name FROM Contact WHERE Name = 'Paul Johnson');</v>
      </c>
      <c r="BF4" t="str">
        <f>contactsSQL('Master Table'!BF4)</f>
        <v>INSERT INTO Contact (Name, Email, Phone) SELECT 'Matt Starke','Matt.Starke@bentley.com','15102502118' WHERE NOT EXISTS (SELECT Name FROM Contact WHERE Name = 'Matt Starke');</v>
      </c>
      <c r="BG4" t="str">
        <f>contactsSQL('Master Table'!BG4)</f>
        <v>INSERT INTO Contact (Name, Email, Phone) SELECT 'Molly Watts','Molly.Watts@bentley.com','16104583183' WHERE NOT EXISTS (SELECT Name FROM Contact WHERE Name = 'Molly Watts');</v>
      </c>
      <c r="BH4" t="str">
        <f>contactsSQL('Master Table'!BH4)</f>
        <v>INSERT INTO Contact (Name, Email, Phone) SELECT 'Ranveer Basra','Ranveer.Basra@bentley.com','16104582950' WHERE NOT EXISTS (SELECT Name FROM Contact WHERE Name = 'Ranveer Basra');</v>
      </c>
      <c r="BI4" t="str">
        <f>contactsSQL('Master Table'!BI4)</f>
        <v>INSERT INTO Contact (Name, Email, Phone) SELECT 'Ranveer Basra','Ranveer.Basra@bentley.com','16104582950' WHERE NOT EXISTS (SELECT Name FROM Contact WHERE Name = 'Ranveer Basra');</v>
      </c>
      <c r="BJ4" t="str">
        <f>contactsSQL('Master Table'!BJ4)</f>
        <v>INSERT INTO Contact (Name, Email, Phone) SELECT 'Marion Powell','Marion.Powell@bentley.com','12569701130' WHERE NOT EXISTS (SELECT Name FROM Contact WHERE Name = 'Marion Powell');</v>
      </c>
      <c r="BK4" t="str">
        <f>contactsSQL('Master Table'!BK4)</f>
        <v>INSERT INTO Contact (Name, Email, Phone) SELECT 'Todd Combs','Todd.Combs@bentley.com','12569701167' WHERE NOT EXISTS (SELECT Name FROM Contact WHERE Name = 'Todd Combs');</v>
      </c>
      <c r="BL4" t="str">
        <f>contactsSQL('Master Table'!BL4)</f>
        <v>INSERT INTO Contact (Name, Email, Phone) SELECT 'Todd Combs','Todd.Combs@bentley.com','12569701167' WHERE NOT EXISTS (SELECT Name FROM Contact WHERE Name = 'Todd Combs');</v>
      </c>
    </row>
    <row r="5" spans="3:64" x14ac:dyDescent="0.25">
      <c r="C5" t="str">
        <f>contactsSQL('Master Table'!C5)</f>
        <v>INSERT INTO Contact (Name, Email, Phone) SELECT 'Pradip Maity','Pradip.Maity@bentley.com','6566926576' WHERE NOT EXISTS (SELECT Name FROM Contact WHERE Name = 'Pradip Maity');</v>
      </c>
      <c r="D5" t="str">
        <f>contactsSQL('Master Table'!D5)</f>
        <v>INSERT INTO Contact (Name, Email, Phone) SELECT 'Pradip Maity','Pradip.Maity@bentley.com','6566926576' WHERE NOT EXISTS (SELECT Name FROM Contact WHERE Name = 'Pradip Maity');</v>
      </c>
      <c r="E5" t="str">
        <f>contactsSQL('Master Table'!E5)</f>
        <v>INSERT INTO Contact (Name, Email, Phone) SELECT 'Pradip Maity','Pradip.Maity@bentley.com','6566926576' WHERE NOT EXISTS (SELECT Name FROM Contact WHERE Name = 'Pradip Maity');</v>
      </c>
      <c r="F5" t="str">
        <f>contactsSQL('Master Table'!F5)</f>
        <v>INSERT INTO Contact (Name, Email, Phone) SELECT 'Pradip Maity','Pradip.Maity@bentley.com','6566926576' WHERE NOT EXISTS (SELECT Name FROM Contact WHERE Name = 'Pradip Maity');</v>
      </c>
      <c r="G5" t="str">
        <f>contactsSQL('Master Table'!G5)</f>
        <v>INSERT INTO Contact (Name, Email, Phone) SELECT 'Pradip Maity','Pradip.Maity@bentley.com','6566926576' WHERE NOT EXISTS (SELECT Name FROM Contact WHERE Name = 'Pradip Maity');</v>
      </c>
      <c r="H5" t="str">
        <f>contactsSQL('Master Table'!H5)</f>
        <v>INSERT INTO Contact (Name, Email, Phone) SELECT 'Pradip Maity','Pradip.Maity@bentley.com','6566926576' WHERE NOT EXISTS (SELECT Name FROM Contact WHERE Name = 'Pradip Maity');</v>
      </c>
      <c r="I5" t="str">
        <f>contactsSQL('Master Table'!I5)</f>
        <v/>
      </c>
      <c r="J5" t="str">
        <f>contactsSQL('Master Table'!J5)</f>
        <v/>
      </c>
      <c r="K5" t="str">
        <f>contactsSQL('Master Table'!K5)</f>
        <v/>
      </c>
      <c r="L5" t="str">
        <f>contactsSQL('Master Table'!L5)</f>
        <v/>
      </c>
      <c r="M5" t="str">
        <f>contactsSQL('Master Table'!M5)</f>
        <v/>
      </c>
      <c r="N5" t="str">
        <f>contactsSQL('Master Table'!N5)</f>
        <v>INSERT INTO Contact (Name, Email, Phone) SELECT 'Ismail Salim','Ismail.Salim@bentley.com','6566926580' WHERE NOT EXISTS (SELECT Name FROM Contact WHERE Name = 'Ismail Salim');</v>
      </c>
      <c r="O5" t="str">
        <f>contactsSQL('Master Table'!O5)</f>
        <v>INSERT INTO Contact (Name, Email, Phone) SELECT 'Ismail Salim','Ismail.Salim@bentley.com','6566926580' WHERE NOT EXISTS (SELECT Name FROM Contact WHERE Name = 'Ismail Salim');</v>
      </c>
      <c r="P5" t="str">
        <f>contactsSQL('Master Table'!P5)</f>
        <v>INSERT INTO Contact (Name, Email, Phone) SELECT 'Ismail Salim','Ismail.Salim@bentley.com','65' WHERE NOT EXISTS (SELECT Name FROM Contact WHERE Name = 'Ismail Salim');</v>
      </c>
      <c r="Q5" t="str">
        <f>contactsSQL('Master Table'!Q5)</f>
        <v>INSERT INTO Contact (Name, Email, Phone) SELECT 'Cheryl Kon','Cheryl.Kon@bentley.com','160379403433' WHERE NOT EXISTS (SELECT Name FROM Contact WHERE Name = 'Cheryl Kon');</v>
      </c>
      <c r="R5" t="str">
        <f>contactsSQL('Master Table'!R5)</f>
        <v>INSERT INTO Contact (Name, Email, Phone) SELECT 'Junaidi Nor','Junaidi.Nor@bentley.com','6566926574' WHERE NOT EXISTS (SELECT Name FROM Contact WHERE Name = 'Junaidi Nor');</v>
      </c>
      <c r="S5" t="str">
        <f>contactsSQL('Master Table'!S5)</f>
        <v>INSERT INTO Contact (Name, Email, Phone) SELECT 'Junaidi Nor','Junaidi.Nor@bentley.com','6566926574' WHERE NOT EXISTS (SELECT Name FROM Contact WHERE Name = 'Junaidi Nor');</v>
      </c>
      <c r="T5" t="str">
        <f>contactsSQL('Master Table'!T5)</f>
        <v>INSERT INTO Contact (Name, Email, Phone) SELECT 'Junaidi Nor','Junaidi.Nor@bentley.com','6566926574' WHERE NOT EXISTS (SELECT Name FROM Contact WHERE Name = 'Junaidi Nor');</v>
      </c>
      <c r="U5" t="str">
        <f>contactsSQL('Master Table'!U5)</f>
        <v>INSERT INTO Contact (Name, Email, Phone) SELECT 'Junaidi Nor','Junaidi.Nor@bentley.com','6566926574' WHERE NOT EXISTS (SELECT Name FROM Contact WHERE Name = 'Junaidi Nor');</v>
      </c>
      <c r="V5" t="str">
        <f>contactsSQL('Master Table'!V5)</f>
        <v>INSERT INTO Contact (Name, Email, Phone) SELECT 'Junaidi Nor','Junaidi.Nor@bentley.com','6566926574' WHERE NOT EXISTS (SELECT Name FROM Contact WHERE Name = 'Junaidi Nor');</v>
      </c>
      <c r="W5" t="str">
        <f>contactsSQL('Master Table'!W5)</f>
        <v>INSERT INTO Contact (Name, Email, Phone) SELECT 'Junaidi Nor','Junaidi.Nor@bentley.com','65' WHERE NOT EXISTS (SELECT Name FROM Contact WHERE Name = 'Junaidi Nor');</v>
      </c>
      <c r="X5" t="str">
        <f>contactsSQL('Master Table'!X5)</f>
        <v>INSERT INTO Contact (Name, Email, Phone) SELECT 'Cheryl Kon','Cheryl.Kon@bentley.com','160379403433' WHERE NOT EXISTS (SELECT Name FROM Contact WHERE Name = 'Cheryl Kon');</v>
      </c>
      <c r="Y5" t="str">
        <f>contactsSQL('Master Table'!Y5)</f>
        <v>INSERT INTO Contact (Name, Email, Phone) SELECT 'Cheryl Kon','Cheryl.Kon@bentley.com','160379403433' WHERE NOT EXISTS (SELECT Name FROM Contact WHERE Name = 'Cheryl Kon');</v>
      </c>
      <c r="Z5" t="str">
        <f>contactsSQL('Master Table'!Z5)</f>
        <v>INSERT INTO Contact (Name, Email, Phone) SELECT 'Cheryl Kon','Cheryl.Kon@bentley.com','160379403433' WHERE NOT EXISTS (SELECT Name FROM Contact WHERE Name = 'Cheryl Kon');</v>
      </c>
      <c r="AA5" t="str">
        <f>contactsSQL('Master Table'!AA5)</f>
        <v>INSERT INTO Contact (Name, Email, Phone) SELECT 'Cheryl Kon','Cheryl.Kon@bentley.com','160379403433' WHERE NOT EXISTS (SELECT Name FROM Contact WHERE Name = 'Cheryl Kon');</v>
      </c>
      <c r="AB5" t="str">
        <f>contactsSQL('Master Table'!AB5)</f>
        <v>INSERT INTO Contact (Name, Email, Phone) SELECT 'Cheryl Kon','Cheryl.Kon@bentley.com','160379403433' WHERE NOT EXISTS (SELECT Name FROM Contact WHERE Name = 'Cheryl Kon');</v>
      </c>
      <c r="AC5" t="str">
        <f>contactsSQL('Master Table'!AC5)</f>
        <v>INSERT INTO Contact (Name, Email, Phone) SELECT 'Cheryl Kon','Cheryl.Kon@bentley.com','160379403433' WHERE NOT EXISTS (SELECT Name FROM Contact WHERE Name = 'Cheryl Kon');</v>
      </c>
      <c r="AD5" t="str">
        <f>contactsSQL('Master Table'!AD5)</f>
        <v>INSERT INTO Contact (Name, Email, Phone) SELECT 'Junaidi Nor','Junaidi.Nor@bentley.com','6566926574' WHERE NOT EXISTS (SELECT Name FROM Contact WHERE Name = 'Junaidi Nor');</v>
      </c>
      <c r="AE5" t="str">
        <f>contactsSQL('Master Table'!AE5)</f>
        <v>INSERT INTO Contact (Name, Email, Phone) SELECT 'Stella Choo','Stella.Choo@bentley.com','6566926585' WHERE NOT EXISTS (SELECT Name FROM Contact WHERE Name = 'Stella Choo');</v>
      </c>
      <c r="AF5" t="str">
        <f>contactsSQL('Master Table'!AF5)</f>
        <v>INSERT INTO Contact (Name, Email, Phone) SELECT 'Junaidi Nor','Junaidi.Nor@bentley.com','6566926574' WHERE NOT EXISTS (SELECT Name FROM Contact WHERE Name = 'Junaidi Nor');</v>
      </c>
      <c r="AG5" t="str">
        <f>contactsSQL('Master Table'!AG5)</f>
        <v>INSERT INTO Contact (Name, Email, Phone) SELECT 'Junaidi Nor','Junaidi.Nor@bentley.com','6566926574' WHERE NOT EXISTS (SELECT Name FROM Contact WHERE Name = 'Junaidi Nor');</v>
      </c>
      <c r="AH5" t="str">
        <f>contactsSQL('Master Table'!AH5)</f>
        <v>INSERT INTO Contact (Name, Email, Phone) SELECT 'Ismail Salim','Ismail.Salim@bentley.com','6566926580' WHERE NOT EXISTS (SELECT Name FROM Contact WHERE Name = 'Ismail Salim');</v>
      </c>
      <c r="AI5" t="str">
        <f>contactsSQL('Master Table'!AI5)</f>
        <v>INSERT INTO Contact (Name, Email, Phone) SELECT 'Cheryl Kon','Cheryl.Kon@bentley.com','160379403433' WHERE NOT EXISTS (SELECT Name FROM Contact WHERE Name = 'Cheryl Kon');</v>
      </c>
      <c r="AJ5" t="str">
        <f>contactsSQL('Master Table'!AJ5)</f>
        <v>INSERT INTO Contact (Name, Email, Phone) SELECT 'Freek Verhoef','Freek.Verhoef@bentley.com','27794964032' WHERE NOT EXISTS (SELECT Name FROM Contact WHERE Name = 'Freek Verhoef');</v>
      </c>
      <c r="AK5" t="str">
        <f>contactsSQL('Master Table'!AK5)</f>
        <v>INSERT INTO Contact (Name, Email, Phone) SELECT 'Uma Umakhanthan','Uma.Umakhanthan@bentley.com','61396978604' WHERE NOT EXISTS (SELECT Name FROM Contact WHERE Name = 'Uma Umakhanthan');</v>
      </c>
      <c r="AL5" t="str">
        <f>contactsSQL('Master Table'!AL5)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M5" t="str">
        <f>contactsSQL('Master Table'!AM5)</f>
        <v>INSERT INTO Contact (Name, Email, Phone) SELECT 'Vincent Ng','Vincent.Ng@bentley.com','60379403432' WHERE NOT EXISTS (SELECT Name FROM Contact WHERE Name = 'Vincent Ng');</v>
      </c>
      <c r="AN5" t="str">
        <f>contactsSQL('Master Table'!AN5)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O5" t="str">
        <f>contactsSQL('Master Table'!AO5)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5" t="str">
        <f>contactsSQL('Master Table'!AP5)</f>
        <v>INSERT INTO Contact (Name, Email, Phone) SELECT 'Vincent Ng','Vincent.Ng@bentley.com','60379403432' WHERE NOT EXISTS (SELECT Name FROM Contact WHERE Name = 'Vincent Ng');</v>
      </c>
      <c r="AQ5" t="str">
        <f>contactsSQL('Master Table'!AQ5)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5" t="str">
        <f>contactsSQL('Master Table'!AR5)</f>
        <v>INSERT INTO Contact (Name, Email, Phone) SELECT 'Dan Vogen','Dan.Vogen@bentley.com','16309816500' WHERE NOT EXISTS (SELECT Name FROM Contact WHERE Name = 'Dan Vogen');</v>
      </c>
      <c r="AS5" t="str">
        <f>contactsSQL('Master Table'!AS5)</f>
        <v>INSERT INTO Contact (Name, Email, Phone) SELECT 'Uma Umakhanthan','Uma.Umakhanthan@bentley.com','613' WHERE NOT EXISTS (SELECT Name FROM Contact WHERE Name = 'Uma Umakhanthan');</v>
      </c>
      <c r="AT5" t="str">
        <f>contactsSQL('Master Table'!AT5)</f>
        <v>INSERT INTO Contact (Name, Email, Phone) SELECT 'Ben Witter','Ben.Witter@bentley.com','12676642491' WHERE NOT EXISTS (SELECT Name FROM Contact WHERE Name = 'Ben Witter');</v>
      </c>
      <c r="AU5" t="str">
        <f>contactsSQL('Master Table'!AU5)</f>
        <v>INSERT INTO Contact (Name, Email, Phone) SELECT 'Eric Crivella','Eric.Crivella@bentley.com','18322172802' WHERE NOT EXISTS (SELECT Name FROM Contact WHERE Name = 'Eric Crivella');</v>
      </c>
      <c r="AV5" t="str">
        <f>contactsSQL('Master Table'!AV5)</f>
        <v>INSERT INTO Contact (Name, Email, Phone) SELECT 'Paul King','Paul.King@bentley.com','61288778810' WHERE NOT EXISTS (SELECT Name FROM Contact WHERE Name = 'Paul King');</v>
      </c>
      <c r="AW5" t="str">
        <f>contactsSQL('Master Table'!AW5)</f>
        <v>INSERT INTO Contact (Name, Email, Phone) SELECT 'Paul King','Paul.King@bentley.com','61288778810' WHERE NOT EXISTS (SELECT Name FROM Contact WHERE Name = 'Paul King');</v>
      </c>
      <c r="AX5" t="str">
        <f>contactsSQL('Master Table'!AX5)</f>
        <v>INSERT INTO Contact (Name, Email, Phone) SELECT 'Paul King','Paul.King@bentley.com','61288778810' WHERE NOT EXISTS (SELECT Name FROM Contact WHERE Name = 'Paul King');</v>
      </c>
      <c r="AY5" t="str">
        <f>contactsSQL('Master Table'!AY5)</f>
        <v>INSERT INTO Contact (Name, Email, Phone) SELECT 'Paul King','Paul.King@bentley.com','61288778810' WHERE NOT EXISTS (SELECT Name FROM Contact WHERE Name = 'Paul King');</v>
      </c>
      <c r="AZ5" t="str">
        <f>contactsSQL('Master Table'!AZ5)</f>
        <v>INSERT INTO Contact (Name, Email, Phone) SELECT 'Paul King','Paul.King@bentley.com','61288778810' WHERE NOT EXISTS (SELECT Name FROM Contact WHERE Name = 'Paul King');</v>
      </c>
      <c r="BA5" t="str">
        <f>contactsSQL('Master Table'!BA5)</f>
        <v>INSERT INTO Contact (Name, Email, Phone) SELECT 'Paul King','Paul.King@bentley.com','61288778810' WHERE NOT EXISTS (SELECT Name FROM Contact WHERE Name = 'Paul King');</v>
      </c>
      <c r="BB5" t="str">
        <f>contactsSQL('Master Table'!BB5)</f>
        <v>INSERT INTO Contact (Name, Email, Phone) SELECT 'Paul King','Paul.King@bentley.com','61288778810' WHERE NOT EXISTS (SELECT Name FROM Contact WHERE Name = 'Paul King');</v>
      </c>
      <c r="BC5" t="str">
        <f>contactsSQL('Master Table'!BC5)</f>
        <v>INSERT INTO Contact (Name, Email, Phone) SELECT 'Paul King','Paul.King@bentley.com','61288778810' WHERE NOT EXISTS (SELECT Name FROM Contact WHERE Name = 'Paul King');</v>
      </c>
      <c r="BD5" t="str">
        <f>contactsSQL('Master Table'!BD5)</f>
        <v>INSERT INTO Contact (Name, Email, Phone) SELECT 'Pradip Maity','Pradip.Maity@bentley.com','6566926576' WHERE NOT EXISTS (SELECT Name FROM Contact WHERE Name = 'Pradip Maity');</v>
      </c>
      <c r="BE5" t="str">
        <f>contactsSQL('Master Table'!BE5)</f>
        <v>INSERT INTO Contact (Name, Email, Phone) SELECT 'Eric Crivella','Eric.Crivella@bentley.com','18322172802' WHERE NOT EXISTS (SELECT Name FROM Contact WHERE Name = 'Eric Crivella');</v>
      </c>
      <c r="BF5" t="str">
        <f>contactsSQL('Master Table'!BF5)</f>
        <v>INSERT INTO Contact (Name, Email, Phone) SELECT 'Mark Cranitch','Mark.Cranitch@bentley.com','61732704341' WHERE NOT EXISTS (SELECT Name FROM Contact WHERE Name = 'Mark Cranitch');</v>
      </c>
      <c r="BG5" t="str">
        <f>contactsSQL('Master Table'!BG5)</f>
        <v>INSERT INTO Contact (Name, Email, Phone) SELECT 'Paul King','Paul.King@bentley.com','61288778810' WHERE NOT EXISTS (SELECT Name FROM Contact WHERE Name = 'Paul King');</v>
      </c>
      <c r="BH5" t="str">
        <f>contactsSQL('Master Table'!BH5)</f>
        <v>INSERT INTO Contact (Name, Email, Phone) SELECT 'Paul King','Paul.King@bentley.com','61288778810' WHERE NOT EXISTS (SELECT Name FROM Contact WHERE Name = 'Paul King');</v>
      </c>
      <c r="BI5" t="str">
        <f>contactsSQL('Master Table'!BI5)</f>
        <v>INSERT INTO Contact (Name, Email, Phone) SELECT 'Paul King','Paul.King@bentley.com','61288778810' WHERE NOT EXISTS (SELECT Name FROM Contact WHERE Name = 'Paul King');</v>
      </c>
      <c r="BJ5" t="str">
        <f>contactsSQL('Master Table'!BJ5)</f>
        <v>INSERT INTO Contact (Name, Email, Phone) SELECT 'Paul King','Paul.King@bentley.com','61288778810' WHERE NOT EXISTS (SELECT Name FROM Contact WHERE Name = 'Paul King');</v>
      </c>
      <c r="BK5" t="str">
        <f>contactsSQL('Master Table'!BK5)</f>
        <v>INSERT INTO Contact (Name, Email, Phone) SELECT 'Paul King','Paul.King@bentley.com','61288778810' WHERE NOT EXISTS (SELECT Name FROM Contact WHERE Name = 'Paul King');</v>
      </c>
      <c r="BL5" t="str">
        <f>contactsSQL('Master Table'!BL5)</f>
        <v>INSERT INTO Contact (Name, Email, Phone) SELECT 'Paul King','Paul.King@bentley.com','61288778810' WHERE NOT EXISTS (SELECT Name FROM Contact WHERE Name = 'Paul King');</v>
      </c>
    </row>
    <row r="6" spans="3:64" x14ac:dyDescent="0.25">
      <c r="C6" t="str">
        <f>contactsSQL('Master Table'!C6)</f>
        <v>INSERT INTO Contact (Name, Email, Phone) SELECT 'Carlos Aguera','Carlos.Aguera@bentley.com','442078610973' WHERE NOT EXISTS (SELECT Name FROM Contact WHERE Name = 'Carlos Aguera');</v>
      </c>
      <c r="D6" t="str">
        <f>contactsSQL('Master Table'!D6)</f>
        <v>INSERT INTO Contact (Name, Email, Phone) SELECT 'Josh Taylor','Josh.Taylor@bentley.com','7604313610' WHERE NOT EXISTS (SELECT Name FROM Contact WHERE Name = 'Josh Taylor');</v>
      </c>
      <c r="E6" t="str">
        <f>contactsSQL('Master Table'!E6)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6" t="str">
        <f>contactsSQL('Master Table'!F6)</f>
        <v>INSERT INTO Contact (Name, Email, Phone) SELECT 'Parvinder Jhita','Parvinder.Jhita@bentley.com','1' WHERE NOT EXISTS (SELECT Name FROM Contact WHERE Name = 'Parvinder Jhita');</v>
      </c>
      <c r="G6" t="str">
        <f>contactsSQL('Master Table'!G6)</f>
        <v>INSERT INTO Contact (Name, Email, Phone) SELECT 'Pat Couser','Pat.Couser@bentley.com','' WHERE NOT EXISTS (SELECT Name FROM Contact WHERE Name = 'Pat Couser');</v>
      </c>
      <c r="H6" t="str">
        <f>contactsSQL('Master Table'!H6)</f>
        <v>INSERT INTO Contact (Name, Email, Phone) SELECT 'Georgina Maldonado','Georgina.Maldonado@bentley.com','17133608369' WHERE NOT EXISTS (SELECT Name FROM Contact WHERE Name = 'Georgina Maldonado');</v>
      </c>
      <c r="I6" t="str">
        <f>contactsSQL('Master Table'!I6)</f>
        <v>INSERT INTO Contact (Name, Email, Phone) SELECT 'Gregor Strekelj','Gregor.Strekelj@bentley.com','4331682153165' WHERE NOT EXISTS (SELECT Name FROM Contact WHERE Name = 'Gregor Strekelj');</v>
      </c>
      <c r="J6" t="str">
        <f>contactsSQL('Master Table'!J6)</f>
        <v>INSERT INTO Contact (Name, Email, Phone) SELECT 'Xin Luo','Xin.Luo@bentley.com','19543439359' WHERE NOT EXISTS (SELECT Name FROM Contact WHERE Name = 'Xin Luo');</v>
      </c>
      <c r="K6" t="str">
        <f>contactsSQL('Master Table'!K6)</f>
        <v>INSERT INTO Contact (Name, Email, Phone) SELECT 'Sri Kanneganti','Sri.Kanneganti@bentley.com','1954343' WHERE NOT EXISTS (SELECT Name FROM Contact WHERE Name = 'Sri Kanneganti');</v>
      </c>
      <c r="L6" t="str">
        <f>contactsSQL('Master Table'!L6)</f>
        <v>INSERT INTO Contact (Name, Email, Phone) SELECT 'Bill Beyer','Bill.Beyer@bentley.com','18166667568' WHERE NOT EXISTS (SELECT Name FROM Contact WHERE Name = 'Bill Beyer');</v>
      </c>
      <c r="M6" t="str">
        <f>contactsSQL('Master Table'!M6)</f>
        <v>INSERT INTO Contact (Name, Email, Phone) SELECT 'David Settlemeyer','David.Settlemyer@bentley.com','16103214610' WHERE NOT EXISTS (SELECT Name FROM Contact WHERE Name = 'David Settlemeyer');</v>
      </c>
      <c r="N6" t="str">
        <f>contactsSQL('Master Table'!N6)</f>
        <v>INSERT INTO Contact (Name, Email, Phone) SELECT 'Andy Smith','Andy.Smith@bentley.com','7046630319' WHERE NOT EXISTS (SELECT Name FROM Contact WHERE Name = 'Andy Smith');</v>
      </c>
      <c r="O6" t="str">
        <f>contactsSQL('Master Table'!O6)</f>
        <v>INSERT INTO Contact (Name, Email, Phone) SELECT 'Andy Smith','Andy.Smith@bentley.com','7046630319' WHERE NOT EXISTS (SELECT Name FROM Contact WHERE Name = 'Andy Smith');</v>
      </c>
      <c r="P6" t="str">
        <f>contactsSQL('Master Table'!P6)</f>
        <v>INSERT INTO Contact (Name, Email, Phone) SELECT 'Paul Demetriou','Paul.Demetriou@bentley.com','12088879204' WHERE NOT EXISTS (SELECT Name FROM Contact WHERE Name = 'Paul Demetriou');</v>
      </c>
      <c r="Q6" t="str">
        <f>contactsSQL('Master Table'!Q6)</f>
        <v>INSERT INTO Contact (Name, Email, Phone) SELECT 'Ian Rosam','Ian.Rosam@bentley.com','442078610' WHERE NOT EXISTS (SELECT Name FROM Contact WHERE Name = 'Ian Rosam');</v>
      </c>
      <c r="R6" t="str">
        <f>contactsSQL('Master Table'!R6)</f>
        <v>INSERT INTO Contact (Name, Email, Phone) SELECT 'Ian Rosam','Ian.Rosam@bentley.com','442078610' WHERE NOT EXISTS (SELECT Name FROM Contact WHERE Name = 'Ian Rosam');</v>
      </c>
      <c r="S6" t="str">
        <f>contactsSQL('Master Table'!S6)</f>
        <v>INSERT INTO Contact (Name, Email, Phone) SELECT 'Ian Rosam','Ian.Rosam@bentley.com','442078610313' WHERE NOT EXISTS (SELECT Name FROM Contact WHERE Name = 'Ian Rosam');</v>
      </c>
      <c r="T6" t="str">
        <f>contactsSQL('Master Table'!T6)</f>
        <v>INSERT INTO Contact (Name, Email, Phone) SELECT 'Kivanc Karakas','Kivanc.Karakas@bentley.com','442078610339' WHERE NOT EXISTS (SELECT Name FROM Contact WHERE Name = 'Kivanc Karakas');</v>
      </c>
      <c r="U6" t="str">
        <f>contactsSQL('Master Table'!U6)</f>
        <v>INSERT INTO Contact (Name, Email, Phone) SELECT 'Ian Rosam','Ian.Rosam@bentley.com','442078610' WHERE NOT EXISTS (SELECT Name FROM Contact WHERE Name = 'Ian Rosam');</v>
      </c>
      <c r="V6" t="str">
        <f>contactsSQL('Master Table'!V6)</f>
        <v>INSERT INTO Contact (Name, Email, Phone) SELECT 'Francois Valois','Francois.Valois@bentley.com','15817817522' WHERE NOT EXISTS (SELECT Name FROM Contact WHERE Name = 'Francois Valois');</v>
      </c>
      <c r="W6" t="str">
        <f>contactsSQL('Master Table'!W6)</f>
        <v>INSERT INTO Contact (Name, Email, Phone) SELECT 'Nicolas Loubier','Nicolas.Loubier@bentley.com','15817817567' WHERE NOT EXISTS (SELECT Name FROM Contact WHERE Name = 'Nicolas Loubier');</v>
      </c>
      <c r="X6" t="str">
        <f>contactsSQL('Master Table'!X6)</f>
        <v>INSERT INTO Contact (Name, Email, Phone) SELECT 'Adnan Ulhaq','Adnan.Ulhaq@bentley.com','92512078422' WHERE NOT EXISTS (SELECT Name FROM Contact WHERE Name = 'Adnan Ulhaq');</v>
      </c>
      <c r="Y6" t="str">
        <f>contactsSQL('Master Table'!Y6)</f>
        <v>INSERT INTO Contact (Name, Email, Phone) SELECT 'Tim Lawrence','Tim.Lawrence@bentley.com','15873158588' WHERE NOT EXISTS (SELECT Name FROM Contact WHERE Name = 'Tim Lawrence');</v>
      </c>
      <c r="Z6" t="str">
        <f>contactsSQL('Master Table'!Z6)</f>
        <v>INSERT INTO Contact (Name, Email, Phone) SELECT 'Abbas Ali','','16104583160' WHERE NOT EXISTS (SELECT Name FROM Contact WHERE Name = 'Abbas Ali');</v>
      </c>
      <c r="AA6" t="str">
        <f>contactsSQL('Master Table'!AA6)</f>
        <v>INSERT INTO Contact (Name, Email, Phone) SELECT 'Rob Harper','Rob.Harper@bentley.com','17137303385' WHERE NOT EXISTS (SELECT Name FROM Contact WHERE Name = 'Rob Harper');</v>
      </c>
      <c r="AB6" t="str">
        <f>contactsSQL('Master Table'!AB6)</f>
        <v>INSERT INTO Contact (Name, Email, Phone) SELECT 'Alain Beland','Alain.Beland@bentley.com','14188802022' WHERE NOT EXISTS (SELECT Name FROM Contact WHERE Name = 'Alain Beland');</v>
      </c>
      <c r="AC6" t="str">
        <f>contactsSQL('Master Table'!AC6)</f>
        <v>INSERT INTO Contact (Name, Email, Phone) SELECT 'Tim Lawrence','Tim.Lawrence@bentley.com','15873158588' WHERE NOT EXISTS (SELECT Name FROM Contact WHERE Name = 'Tim Lawrence');</v>
      </c>
      <c r="AD6" t="str">
        <f>contactsSQL('Master Table'!AD6)</f>
        <v>INSERT INTO Contact (Name, Email, Phone) SELECT 'Benoit Frederique','Benoit.Fredericque@bentley.com','' WHERE NOT EXISTS (SELECT Name FROM Contact WHERE Name = 'Benoit Frederique');</v>
      </c>
      <c r="AE6" t="str">
        <f>contactsSQL('Master Table'!AE6)</f>
        <v>INSERT INTO Contact (Name, Email, Phone) SELECT 'Benoit Frederique','Benoit.Fredericque@bentley.com','' WHERE NOT EXISTS (SELECT Name FROM Contact WHERE Name = 'Benoit Frederique');</v>
      </c>
      <c r="AF6" t="str">
        <f>contactsSQL('Master Table'!AF6)</f>
        <v>INSERT INTO Contact (Name, Email, Phone) SELECT 'Benoit Frederique','Benoit.Fredericque@bentley.com','' WHERE NOT EXISTS (SELECT Name FROM Contact WHERE Name = 'Benoit Frederique');</v>
      </c>
      <c r="AG6" t="str">
        <f>contactsSQL('Master Table'!AG6)</f>
        <v>INSERT INTO Contact (Name, Email, Phone) SELECT 'Benoit Frederique','Benoit.Fredericque@bentley.com','' WHERE NOT EXISTS (SELECT Name FROM Contact WHERE Name = 'Benoit Frederique');</v>
      </c>
      <c r="AH6" t="str">
        <f>contactsSQL('Master Table'!AH6)</f>
        <v>INSERT INTO Contact (Name, Email, Phone) SELECT 'Jim Barr','Jim.Barr@bentley.com','12567241520' WHERE NOT EXISTS (SELECT Name FROM Contact WHERE Name = 'Jim Barr');</v>
      </c>
      <c r="AI6" t="str">
        <f>contactsSQL('Master Table'!AI6)</f>
        <v>INSERT INTO Contact (Name, Email, Phone) SELECT 'Slavica Bozic','Slavica.Bozic@bentley.com','16302338281' WHERE NOT EXISTS (SELECT Name FROM Contact WHERE Name = 'Slavica Bozic');</v>
      </c>
      <c r="AJ6" t="str">
        <f>contactsSQL('Master Table'!AJ6)</f>
        <v>INSERT INTO Contact (Name, Email, Phone) SELECT 'Jim Newman','Jim.Newman@bentley.com','17044332566' WHERE NOT EXISTS (SELECT Name FROM Contact WHERE Name = 'Jim Newman');</v>
      </c>
      <c r="AK6" t="str">
        <f>contactsSQL('Master Table'!AK6)</f>
        <v>INSERT INTO Contact (Name, Email, Phone) SELECT 'Aaron Beazley','Aaron.Beazley@bentley.com','12898162642' WHERE NOT EXISTS (SELECT Name FROM Contact WHERE Name = 'Aaron Beazley');</v>
      </c>
      <c r="AL6" t="str">
        <f>contactsSQL('Master Table'!AL6)</f>
        <v>INSERT INTO Contact (Name, Email, Phone) SELECT 'Gijsbert Noordam','Gijsbert.Noordam@bentley.com','31235560626' WHERE NOT EXISTS (SELECT Name FROM Contact WHERE Name = 'Gijsbert Noordam');</v>
      </c>
      <c r="AM6" t="str">
        <f>contactsSQL('Master Table'!AM6)</f>
        <v>INSERT INTO Contact (Name, Email, Phone) SELECT 'Gregg Herrin','Gregg.Herrin@bentley.com','16104583188' WHERE NOT EXISTS (SELECT Name FROM Contact WHERE Name = 'Gregg Herrin');</v>
      </c>
      <c r="AN6" t="str">
        <f>contactsSQL('Master Table'!AN6)</f>
        <v>INSERT INTO Contact (Name, Email, Phone) SELECT 'Gijsbert Noordam','Gijsbert.Noordam@bentley.com','31235560626' WHERE NOT EXISTS (SELECT Name FROM Contact WHERE Name = 'Gijsbert Noordam');</v>
      </c>
      <c r="AO6" t="str">
        <f>contactsSQL('Master Table'!AO6)</f>
        <v>INSERT INTO Contact (Name, Email, Phone) SELECT 'Russell Page','Russell.Page@bentley.com','13032210689' WHERE NOT EXISTS (SELECT Name FROM Contact WHERE Name = 'Russell Page');</v>
      </c>
      <c r="AP6" t="str">
        <f>contactsSQL('Master Table'!AP6)</f>
        <v>INSERT INTO Contact (Name, Email, Phone) SELECT 'Mal Sharkey','Mal.Sharkey@bentley.com','61396978623' WHERE NOT EXISTS (SELECT Name FROM Contact WHERE Name = 'Mal Sharkey');</v>
      </c>
      <c r="AQ6" t="str">
        <f>contactsSQL('Master Table'!AQ6)</f>
        <v>INSERT INTO Contact (Name, Email, Phone) SELECT 'Aaron Beazily','Aaron.Beazley@bentley.com','12898162642' WHERE NOT EXISTS (SELECT Name FROM Contact WHERE Name = 'Aaron Beazily');</v>
      </c>
      <c r="AR6" t="str">
        <f>contactsSQL('Master Table'!AR6)</f>
        <v>INSERT INTO Contact (Name, Email, Phone) SELECT 'Jim Scott','Jim.Scott@bentley.com','13039670864' WHERE NOT EXISTS (SELECT Name FROM Contact WHERE Name = 'Jim Scott');</v>
      </c>
      <c r="AS6" t="str">
        <f>contactsSQL('Master Table'!AS6)</f>
        <v>INSERT INTO Contact (Name, Email, Phone) SELECT 'Duncan Rodger','Duncan.Rodger@bentley.com','441349865554' WHERE NOT EXISTS (SELECT Name FROM Contact WHERE Name = 'Duncan Rodger');</v>
      </c>
      <c r="AT6" t="str">
        <f>contactsSQL('Master Table'!AT6)</f>
        <v>INSERT INTO Contact (Name, Email, Phone) SELECT 'Taylor Gilmore','Taylor.Gilmore@bentley.com','14126811521' WHERE NOT EXISTS (SELECT Name FROM Contact WHERE Name = 'Taylor Gilmore');</v>
      </c>
      <c r="AU6" t="str">
        <f>contactsSQL('Master Table'!AU6)</f>
        <v>INSERT INTO Contact (Name, Email, Phone) SELECT 'Paolomee Udani','Paolomee.Udani@bentley.com','19252745107' WHERE NOT EXISTS (SELECT Name FROM Contact WHERE Name = 'Paolomee Udani');</v>
      </c>
      <c r="AV6" t="str">
        <f>contactsSQL('Master Table'!AV6)</f>
        <v>INSERT INTO Contact (Name, Email, Phone) SELECT 'Bill McNamara','Bill.McNamara@bentley.com','16104587602' WHERE NOT EXISTS (SELECT Name FROM Contact WHERE Name = 'Bill McNamara');</v>
      </c>
      <c r="AW6" t="str">
        <f>contactsSQL('Master Table'!AW6)</f>
        <v>INSERT INTO Contact (Name, Email, Phone) SELECT 'Bill McNamara','Bill.McNamara@bentley.com','16104587602' WHERE NOT EXISTS (SELECT Name FROM Contact WHERE Name = 'Bill McNamara');</v>
      </c>
      <c r="AX6" t="str">
        <f>contactsSQL('Master Table'!AX6)</f>
        <v>INSERT INTO Contact (Name, Email, Phone) SELECT 'Bill McNamara','Bill.McNamara@bentley.com','16104587602' WHERE NOT EXISTS (SELECT Name FROM Contact WHERE Name = 'Bill McNamara');</v>
      </c>
      <c r="AY6" t="str">
        <f>contactsSQL('Master Table'!AY6)</f>
        <v>INSERT INTO Contact (Name, Email, Phone) SELECT 'Bill McNamara','Bill.McNamara@bentley.com','16104587602' WHERE NOT EXISTS (SELECT Name FROM Contact WHERE Name = 'Bill McNamara');</v>
      </c>
      <c r="AZ6" t="str">
        <f>contactsSQL('Master Table'!AZ6)</f>
        <v>INSERT INTO Contact (Name, Email, Phone) SELECT 'Bill McNamara','Bill.McNamara@bentley.com','16104587602' WHERE NOT EXISTS (SELECT Name FROM Contact WHERE Name = 'Bill McNamara');</v>
      </c>
      <c r="BA6" t="str">
        <f>contactsSQL('Master Table'!BA6)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6" t="str">
        <f>contactsSQL('Master Table'!BB6)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6" t="str">
        <f>contactsSQL('Master Table'!BC6)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6" t="str">
        <f>contactsSQL('Master Table'!BD6)</f>
        <v>INSERT INTO Contact (Name, Email, Phone) SELECT 'Joe Granville','Joe.Granville@bentley.com','16104582951' WHERE NOT EXISTS (SELECT Name FROM Contact WHERE Name = 'Joe Granville');</v>
      </c>
      <c r="BE6" t="str">
        <f>contactsSQL('Master Table'!BE6)</f>
        <v>INSERT INTO Contact (Name, Email, Phone) SELECT 'Beth Buerger','Beth.Buerger@bentley.com','17205283380' WHERE NOT EXISTS (SELECT Name FROM Contact WHERE Name = 'Beth Buerger');</v>
      </c>
      <c r="BF6" t="str">
        <f>contactsSQL('Master Table'!BF6)</f>
        <v>INSERT INTO Contact (Name, Email, Phone) SELECT 'Sam Stuart','Sam.Stuart@bentley.com','' WHERE NOT EXISTS (SELECT Name FROM Contact WHERE Name = 'Sam Stuart');</v>
      </c>
      <c r="BG6" t="str">
        <f>contactsSQL('Master Table'!BG6)</f>
        <v>INSERT INTO Contact (Name, Email, Phone) SELECT 'Rimantas Varanavicius','imantas.Varanavicius@bentley.com','37052398145' WHERE NOT EXISTS (SELECT Name FROM Contact WHERE Name = 'Rimantas Varanavicius');</v>
      </c>
      <c r="BH6" t="str">
        <f>contactsSQL('Master Table'!BH6)</f>
        <v>INSERT INTO Contact (Name, Email, Phone) SELECT 'Jo Wright','Jo.Wright@bentley.com','12569701111' WHERE NOT EXISTS (SELECT Name FROM Contact WHERE Name = 'Jo Wright');</v>
      </c>
      <c r="BI6" t="str">
        <f>contactsSQL('Master Table'!BI6)</f>
        <v>INSERT INTO Contact (Name, Email, Phone) SELECT 'Jo Wright','Jo.Wright@bentley.com','12569701111' WHERE NOT EXISTS (SELECT Name FROM Contact WHERE Name = 'Jo Wright');</v>
      </c>
      <c r="BJ6" t="str">
        <f>contactsSQL('Master Table'!BJ6)</f>
        <v>INSERT INTO Contact (Name, Email, Phone) SELECT 'Jo Wright','Jo.Wright@bentley.com','12569701111' WHERE NOT EXISTS (SELECT Name FROM Contact WHERE Name = 'Jo Wright');</v>
      </c>
      <c r="BK6" t="str">
        <f>contactsSQL('Master Table'!BK6)</f>
        <v>INSERT INTO Contact (Name, Email, Phone) SELECT 'Jo Wright','Jo.Wright@bentley.com','12569701111' WHERE NOT EXISTS (SELECT Name FROM Contact WHERE Name = 'Jo Wright');</v>
      </c>
      <c r="BL6" t="str">
        <f>contactsSQL('Master Table'!BL6)</f>
        <v>INSERT INTO Contact (Name, Email, Phone) SELECT 'Jo Wright','Jo.Wright@bentley.com','12569701111' WHERE NOT EXISTS (SELECT Name FROM Contact WHERE Name = 'Jo Wright');</v>
      </c>
    </row>
    <row r="7" spans="3:64" x14ac:dyDescent="0.25">
      <c r="C7" t="str">
        <f>contactsSQL('Master Table'!C7)</f>
        <v>INSERT INTO Contact (Name, Email, Phone) SELECT 'Madhan Elumalai','Madhan.Elumalai@bentley.com','6566926578' WHERE NOT EXISTS (SELECT Name FROM Contact WHERE Name = 'Madhan Elumalai');</v>
      </c>
      <c r="D7" t="str">
        <f>contactsSQL('Master Table'!D7)</f>
        <v>INSERT INTO Contact (Name, Email, Phone) SELECT 'Madhan Elumalai','Madhan.Elumalai@bentley.com','6566926578' WHERE NOT EXISTS (SELECT Name FROM Contact WHERE Name = 'Madhan Elumalai');</v>
      </c>
      <c r="E7" t="str">
        <f>contactsSQL('Master Table'!E7)</f>
        <v>INSERT INTO Contact (Name, Email, Phone) SELECT 'Madhan Elumalai','Madhan.Elumalai@bentley.com','6566926578' WHERE NOT EXISTS (SELECT Name FROM Contact WHERE Name = 'Madhan Elumalai');</v>
      </c>
      <c r="F7" t="str">
        <f>contactsSQL('Master Table'!F7)</f>
        <v>INSERT INTO Contact (Name, Email, Phone) SELECT 'Rupesh Kumar','Rupesh.Kumar@bentley.com','160379403439' WHERE NOT EXISTS (SELECT Name FROM Contact WHERE Name = 'Rupesh Kumar');</v>
      </c>
      <c r="G7" t="str">
        <f>contactsSQL('Master Table'!G7)</f>
        <v>INSERT INTO Contact (Name, Email, Phone) SELECT 'Rupesh Kumar','Rupesh.Kumar@bentley.com','160379403439' WHERE NOT EXISTS (SELECT Name FROM Contact WHERE Name = 'Rupesh Kumar');</v>
      </c>
      <c r="H7" t="str">
        <f>contactsSQL('Master Table'!H7)</f>
        <v>INSERT INTO Contact (Name, Email, Phone) SELECT 'Aswin Bandaru','Aswin.Bandaru@bentley.com','17137842837' WHERE NOT EXISTS (SELECT Name FROM Contact WHERE Name = 'Aswin Bandaru');</v>
      </c>
      <c r="I7" t="str">
        <f>contactsSQL('Master Table'!I7)</f>
        <v>INSERT INTO Contact (Name, Email, Phone) SELECT 'Diether Wagner','Diether.Wagner@bentley.com','4331682153162' WHERE NOT EXISTS (SELECT Name FROM Contact WHERE Name = 'Diether Wagner');</v>
      </c>
      <c r="J7" t="str">
        <f>contactsSQL('Master Table'!J7)</f>
        <v>INSERT INTO Contact (Name, Email, Phone) SELECT 'Vinay Mysore','Vinay.Mysore@bentley.com','91' WHERE NOT EXISTS (SELECT Name FROM Contact WHERE Name = 'Vinay Mysore');</v>
      </c>
      <c r="K7" t="str">
        <f>contactsSQL('Master Table'!K7)</f>
        <v>INSERT INTO Contact (Name, Email, Phone) SELECT 'Dilip Matange','Dilip.Matange@bentley.com','19543439338' WHERE NOT EXISTS (SELECT Name FROM Contact WHERE Name = 'Dilip Matange');</v>
      </c>
      <c r="L7" t="str">
        <f>contactsSQL('Master Table'!L7)</f>
        <v>INSERT INTO Contact (Name, Email, Phone) SELECT 'Dilip Matange','Dilip.Matange@bentley.com','19543439338' WHERE NOT EXISTS (SELECT Name FROM Contact WHERE Name = 'Dilip Matange');</v>
      </c>
      <c r="M7" t="str">
        <f>contactsSQL('Master Table'!M7)</f>
        <v>INSERT INTO Contact (Name, Email, Phone) SELECT 'Chris Croucher','Chris.Croucher@bentley.com','16103214606' WHERE NOT EXISTS (SELECT Name FROM Contact WHERE Name = 'Chris Croucher');</v>
      </c>
      <c r="N7" t="str">
        <f>contactsSQL('Master Table'!N7)</f>
        <v>INSERT INTO Contact (Name, Email, Phone) SELECT 'Orven Fajardo','Orven.Fajardo@bentley.com','6566926591' WHERE NOT EXISTS (SELECT Name FROM Contact WHERE Name = 'Orven Fajardo');</v>
      </c>
      <c r="O7" t="str">
        <f>contactsSQL('Master Table'!O7)</f>
        <v>INSERT INTO Contact (Name, Email, Phone) SELECT 'Steve Brown','Steve.Brown@bentley.com','44' WHERE NOT EXISTS (SELECT Name FROM Contact WHERE Name = 'Steve Brown');</v>
      </c>
      <c r="P7" t="str">
        <f>contactsSQL('Master Table'!P7)</f>
        <v>INSERT INTO Contact (Name, Email, Phone) SELECT 'Steve Brown','Steve.Brown@bentley.com','44' WHERE NOT EXISTS (SELECT Name FROM Contact WHERE Name = 'Steve Brown');</v>
      </c>
      <c r="Q7" t="str">
        <f>contactsSQL('Master Table'!Q7)</f>
        <v>INSERT INTO Contact (Name, Email, Phone) SELECT 'Jimmy Lau','Jimmy.Lau@bentley.com','185228021882' WHERE NOT EXISTS (SELECT Name FROM Contact WHERE Name = 'Jimmy Lau');</v>
      </c>
      <c r="R7" t="str">
        <f>contactsSQL('Master Table'!R7)</f>
        <v>INSERT INTO Contact (Name, Email, Phone) SELECT 'Jimmy Lau','Jimmy.Lau@bentley.com','185228021882' WHERE NOT EXISTS (SELECT Name FROM Contact WHERE Name = 'Jimmy Lau');</v>
      </c>
      <c r="S7" t="str">
        <f>contactsSQL('Master Table'!S7)</f>
        <v>INSERT INTO Contact (Name, Email, Phone) SELECT 'Jimmy Lau','Jimmy.Lau@bentley.com','185228021882' WHERE NOT EXISTS (SELECT Name FROM Contact WHERE Name = 'Jimmy Lau');</v>
      </c>
      <c r="T7" t="str">
        <f>contactsSQL('Master Table'!T7)</f>
        <v>INSERT INTO Contact (Name, Email, Phone) SELECT 'Maylen Yee','Maylen.Yee@bentley.com','6566926589' WHERE NOT EXISTS (SELECT Name FROM Contact WHERE Name = 'Maylen Yee');</v>
      </c>
      <c r="U7" t="str">
        <f>contactsSQL('Master Table'!U7)</f>
        <v>INSERT INTO Contact (Name, Email, Phone) SELECT 'Jimmy Lau','Jimmy.Lau@bentley.com','185228021882' WHERE NOT EXISTS (SELECT Name FROM Contact WHERE Name = 'Jimmy Lau');</v>
      </c>
      <c r="V7" t="str">
        <f>contactsSQL('Master Table'!V7)</f>
        <v>INSERT INTO Contact (Name, Email, Phone) SELECT 'Kevin McDonald','Kevin.McDonald@bentley.com','12569701123' WHERE NOT EXISTS (SELECT Name FROM Contact WHERE Name = 'Kevin McDonald');</v>
      </c>
      <c r="W7" t="str">
        <f>contactsSQL('Master Table'!W7)</f>
        <v>INSERT INTO Contact (Name, Email, Phone) SELECT 'Jimmy Lau','Jimmy.Lau@bentley.com','185228021882' WHERE NOT EXISTS (SELECT Name FROM Contact WHERE Name = 'Jimmy Lau');</v>
      </c>
      <c r="X7" t="str">
        <f>contactsSQL('Master Table'!X7)</f>
        <v>INSERT INTO Contact (Name, Email, Phone) SELECT 'Patrick Wicki','Patrick.Wicki@bentley.com','41792040786' WHERE NOT EXISTS (SELECT Name FROM Contact WHERE Name = 'Patrick Wicki');</v>
      </c>
      <c r="Y7" t="str">
        <f>contactsSQL('Master Table'!Y7)</f>
        <v>INSERT INTO Contact (Name, Email, Phone) SELECT 'Tim Lawrence','Tim.Lawrence@bentley.com','15873158588' WHERE NOT EXISTS (SELECT Name FROM Contact WHERE Name = 'Tim Lawrence');</v>
      </c>
      <c r="Z7" t="str">
        <f>contactsSQL('Master Table'!Z7)</f>
        <v>INSERT INTO Contact (Name, Email, Phone) SELECT 'Patrick Wicki','Patrick.Wicki@bentley.com','41792040786' WHERE NOT EXISTS (SELECT Name FROM Contact WHERE Name = 'Patrick Wicki');</v>
      </c>
      <c r="AA7" t="str">
        <f>contactsSQL('Master Table'!AA7)</f>
        <v>INSERT INTO Contact (Name, Email, Phone) SELECT 'Patrick Wicki','Patrick.Wicki@bentley.com','41792040786' WHERE NOT EXISTS (SELECT Name FROM Contact WHERE Name = 'Patrick Wicki');</v>
      </c>
      <c r="AB7" t="str">
        <f>contactsSQL('Master Table'!AB7)</f>
        <v>INSERT INTO Contact (Name, Email, Phone) SELECT 'Alain Beland','Alain.Beland@bentley.com','14188802022' WHERE NOT EXISTS (SELECT Name FROM Contact WHERE Name = 'Alain Beland');</v>
      </c>
      <c r="AC7" t="str">
        <f>contactsSQL('Master Table'!AC7)</f>
        <v>INSERT INTO Contact (Name, Email, Phone) SELECT 'Peter Alspaugh','Peter.Alspaugh@bentley.com','18322172816' WHERE NOT EXISTS (SELECT Name FROM Contact WHERE Name = 'Peter Alspaugh');</v>
      </c>
      <c r="AD7" t="str">
        <f>contactsSQL('Master Table'!AD7)</f>
        <v>INSERT INTO Contact (Name, Email, Phone) SELECT 'Felix Zhou','Felix.Zhou@bentley.com','862122873806' WHERE NOT EXISTS (SELECT Name FROM Contact WHERE Name = 'Felix Zhou');</v>
      </c>
      <c r="AE7" t="str">
        <f>contactsSQL('Master Table'!AE7)</f>
        <v>INSERT INTO Contact (Name, Email, Phone) SELECT 'Felix Zhou','Felix.Zhou@bentley.com','862122873806' WHERE NOT EXISTS (SELECT Name FROM Contact WHERE Name = 'Felix Zhou');</v>
      </c>
      <c r="AF7" t="str">
        <f>contactsSQL('Master Table'!AF7)</f>
        <v>INSERT INTO Contact (Name, Email, Phone) SELECT 'Felix Zhou','Felix.Zhou@bentley.com','862122873806' WHERE NOT EXISTS (SELECT Name FROM Contact WHERE Name = 'Felix Zhou');</v>
      </c>
      <c r="AG7" t="str">
        <f>contactsSQL('Master Table'!AG7)</f>
        <v>INSERT INTO Contact (Name, Email, Phone) SELECT 'Felix Zhou','Felix.Zhou@bentley.com','862122873806' WHERE NOT EXISTS (SELECT Name FROM Contact WHERE Name = 'Felix Zhou');</v>
      </c>
      <c r="AH7" t="str">
        <f>contactsSQL('Master Table'!AH7)</f>
        <v>INSERT INTO Contact (Name, Email, Phone) SELECT 'Adam Smith','Adam.Smith@bentley.com','' WHERE NOT EXISTS (SELECT Name FROM Contact WHERE Name = 'Adam Smith');</v>
      </c>
      <c r="AI7" t="str">
        <f>contactsSQL('Master Table'!AI7)</f>
        <v/>
      </c>
      <c r="AJ7" t="str">
        <f>contactsSQL('Master Table'!AJ7)</f>
        <v>INSERT INTO Contact (Name, Email, Phone) SELECT 'Engteck Soon','Engteck.Soon@bentley.com','61396978647' WHERE NOT EXISTS (SELECT Name FROM Contact WHERE Name = 'Engteck Soon');</v>
      </c>
      <c r="AK7" t="str">
        <f>contactsSQL('Master Table'!AK7)</f>
        <v>INSERT INTO Contact (Name, Email, Phone) SELECT 'Engteck Soon','Engteck.Soon@bentley.com','61396978647' WHERE NOT EXISTS (SELECT Name FROM Contact WHERE Name = 'Engteck Soon');</v>
      </c>
      <c r="AL7" t="str">
        <f>contactsSQL('Master Table'!AL7)</f>
        <v>INSERT INTO Contact (Name, Email, Phone) SELECT 'Linda Oliveira','Linda.Oliveira@bentley.com','16104586084' WHERE NOT EXISTS (SELECT Name FROM Contact WHERE Name = 'Linda Oliveira');</v>
      </c>
      <c r="AM7" t="str">
        <f>contactsSQL('Master Table'!AM7)</f>
        <v>INSERT INTO Contact (Name, Email, Phone) SELECT 'MSV Rao','MSV.Rao@bentley.com','919820223761' WHERE NOT EXISTS (SELECT Name FROM Contact WHERE Name = 'MSV Rao');</v>
      </c>
      <c r="AN7" t="str">
        <f>contactsSQL('Master Table'!AN7)</f>
        <v>INSERT INTO Contact (Name, Email, Phone) SELECT 'Lon Opp','Lon.Opp@bentley.com','12569701127' WHERE NOT EXISTS (SELECT Name FROM Contact WHERE Name = 'Lon Opp');</v>
      </c>
      <c r="AO7" t="str">
        <f>contactsSQL('Master Table'!AO7)</f>
        <v>INSERT INTO Contact (Name, Email, Phone) SELECT 'Clive Hackforth','Clive.Hackforth@bentley.com','442078610933' WHERE NOT EXISTS (SELECT Name FROM Contact WHERE Name = 'Clive Hackforth');</v>
      </c>
      <c r="AP7" t="str">
        <f>contactsSQL('Master Table'!AP7)</f>
        <v>INSERT INTO Contact (Name, Email, Phone) SELECT 'MSV Rao','MSV.Rao@bentley.com','919820223761' WHERE NOT EXISTS (SELECT Name FROM Contact WHERE Name = 'MSV Rao');</v>
      </c>
      <c r="AQ7" t="str">
        <f>contactsSQL('Master Table'!AQ7)</f>
        <v>INSERT INTO Contact (Name, Email, Phone) SELECT 'Joanna Slowinska','Joanna.Slowinska@bentley.com','442078610317' WHERE NOT EXISTS (SELECT Name FROM Contact WHERE Name = 'Joanna Slowinska');</v>
      </c>
      <c r="AR7" t="str">
        <f>contactsSQL('Master Table'!AR7)</f>
        <v>INSERT INTO Contact (Name, Email, Phone) SELECT 'Richard Ellis','Richard.Ellis@bentley.com','6421611832' WHERE NOT EXISTS (SELECT Name FROM Contact WHERE Name = 'Richard Ellis');</v>
      </c>
      <c r="AS7" t="str">
        <f>contactsSQL('Master Table'!AS7)</f>
        <v>INSERT INTO Contact (Name, Email, Phone) SELECT 'Neil Pickin','Neil.Pickin@bentley.com','441619731462' WHERE NOT EXISTS (SELECT Name FROM Contact WHERE Name = 'Neil Pickin');</v>
      </c>
      <c r="AT7" t="str">
        <f>contactsSQL('Master Table'!AT7)</f>
        <v>INSERT INTO Contact (Name, Email, Phone) SELECT 'Mark Mazzeo','Mark.Mazzeo@bentley.com','14122303034' WHERE NOT EXISTS (SELECT Name FROM Contact WHERE Name = 'Mark Mazzeo');</v>
      </c>
      <c r="AU7" t="str">
        <f>contactsSQL('Master Table'!AU7)</f>
        <v>INSERT INTO Contact (Name, Email, Phone) SELECT 'Paul Johnson','Paul.Johnson@bentley.com','16104583191' WHERE NOT EXISTS (SELECT Name FROM Contact WHERE Name = 'Paul Johnson');</v>
      </c>
      <c r="AV7" t="str">
        <f>contactsSQL('Master Table'!AV7)</f>
        <v>INSERT INTO Contact (Name, Email, Phone) SELECT 'Amol Sonawane','Amol.Sonawane@bentley.com','912066021201' WHERE NOT EXISTS (SELECT Name FROM Contact WHERE Name = 'Amol Sonawane');</v>
      </c>
      <c r="AW7" t="str">
        <f>contactsSQL('Master Table'!AW7)</f>
        <v>INSERT INTO Contact (Name, Email, Phone) SELECT 'Ranveer Basra','Ranveer.Basra@bentley.com','16104582950' WHERE NOT EXISTS (SELECT Name FROM Contact WHERE Name = 'Ranveer Basra');</v>
      </c>
      <c r="AX7" t="str">
        <f>contactsSQL('Master Table'!AX7)</f>
        <v>INSERT INTO Contact (Name, Email, Phone) SELECT 'Amol Sonawane','Amol.Sonawane@bentley.com','912066021201' WHERE NOT EXISTS (SELECT Name FROM Contact WHERE Name = 'Amol Sonawane');</v>
      </c>
      <c r="AY7" t="str">
        <f>contactsSQL('Master Table'!AY7)</f>
        <v>INSERT INTO Contact (Name, Email, Phone) SELECT 'Amol Sonawane','Amol.Sonawane@bentley.com','912066021201' WHERE NOT EXISTS (SELECT Name FROM Contact WHERE Name = 'Amol Sonawane');</v>
      </c>
      <c r="AZ7" t="str">
        <f>contactsSQL('Master Table'!AZ7)</f>
        <v>INSERT INTO Contact (Name, Email, Phone) SELECT 'Amol Sonawane','Amol.Sonawane@bentley.com','912066021201' WHERE NOT EXISTS (SELECT Name FROM Contact WHERE Name = 'Amol Sonawane');</v>
      </c>
      <c r="BA7" t="str">
        <f>contactsSQL('Master Table'!BA7)</f>
        <v>INSERT INTO Contact (Name, Email, Phone) SELECT 'Amol Sonawane','Amol.Sonawane@bentley.com','912066021201' WHERE NOT EXISTS (SELECT Name FROM Contact WHERE Name = 'Amol Sonawane');</v>
      </c>
      <c r="BB7" t="str">
        <f>contactsSQL('Master Table'!BB7)</f>
        <v>INSERT INTO Contact (Name, Email, Phone) SELECT 'Amol Sonawane','Amol.Sonawane@bentley.com','912066021201' WHERE NOT EXISTS (SELECT Name FROM Contact WHERE Name = 'Amol Sonawane');</v>
      </c>
      <c r="BC7" t="str">
        <f>contactsSQL('Master Table'!BC7)</f>
        <v>INSERT INTO Contact (Name, Email, Phone) SELECT 'Amol Sonawane','Amol.Sonawane@bentley.com','912066021201' WHERE NOT EXISTS (SELECT Name FROM Contact WHERE Name = 'Amol Sonawane');</v>
      </c>
      <c r="BD7" t="str">
        <f>contactsSQL('Master Table'!BD7)</f>
        <v>INSERT INTO Contact (Name, Email, Phone) SELECT 'Paul Johnson','Paul.Johnson@bentley.com','16104583191' WHERE NOT EXISTS (SELECT Name FROM Contact WHERE Name = 'Paul Johnson');</v>
      </c>
      <c r="BE7" t="str">
        <f>contactsSQL('Master Table'!BE7)</f>
        <v>INSERT INTO Contact (Name, Email, Phone) SELECT 'Paul Johnson','Paul.Johnson@bentley.com','16104583191' WHERE NOT EXISTS (SELECT Name FROM Contact WHERE Name = 'Paul Johnson');</v>
      </c>
      <c r="BF7" t="str">
        <f>contactsSQL('Master Table'!BF7)</f>
        <v>INSERT INTO Contact (Name, Email, Phone) SELECT 'Matt Starke','Matt.Starke@bentley.com','15102502118' WHERE NOT EXISTS (SELECT Name FROM Contact WHERE Name = 'Matt Starke');</v>
      </c>
      <c r="BG7" t="str">
        <f>contactsSQL('Master Table'!BG7)</f>
        <v>INSERT INTO Contact (Name, Email, Phone) SELECT 'Molly Watts','Molly.Watts@bentley.com','16104583183' WHERE NOT EXISTS (SELECT Name FROM Contact WHERE Name = 'Molly Watts');</v>
      </c>
      <c r="BH7" t="str">
        <f>contactsSQL('Master Table'!BH7)</f>
        <v>INSERT INTO Contact (Name, Email, Phone) SELECT 'Amol Sonawane','Amol.Sonawane@bentley.com','912066021201' WHERE NOT EXISTS (SELECT Name FROM Contact WHERE Name = 'Amol Sonawane');</v>
      </c>
      <c r="BI7" t="str">
        <f>contactsSQL('Master Table'!BI7)</f>
        <v>INSERT INTO Contact (Name, Email, Phone) SELECT 'Amol Sonawane','Amol.Sonawane@bentley.com','912066021201' WHERE NOT EXISTS (SELECT Name FROM Contact WHERE Name = 'Amol Sonawane');</v>
      </c>
      <c r="BJ7" t="str">
        <f>contactsSQL('Master Table'!BJ7)</f>
        <v>INSERT INTO Contact (Name, Email, Phone) SELECT 'Amol Sonawane','Amol.Sonawane@bentley.com','912066021201' WHERE NOT EXISTS (SELECT Name FROM Contact WHERE Name = 'Amol Sonawane');</v>
      </c>
      <c r="BK7" t="str">
        <f>contactsSQL('Master Table'!BK7)</f>
        <v>INSERT INTO Contact (Name, Email, Phone) SELECT 'Amol Sonawane','Amol.Sonawane@bentley.com','912066021201' WHERE NOT EXISTS (SELECT Name FROM Contact WHERE Name = 'Amol Sonawane');</v>
      </c>
      <c r="BL7" t="str">
        <f>contactsSQL('Master Table'!BL7)</f>
        <v>INSERT INTO Contact (Name, Email, Phone) SELECT 'Amol Sonawane','Amol.Sonawane@bentley.com','912066021201' WHERE NOT EXISTS (SELECT Name FROM Contact WHERE Name = 'Amol Sonawane');</v>
      </c>
    </row>
    <row r="8" spans="3:64" x14ac:dyDescent="0.25">
      <c r="C8" t="str">
        <f>contactsSQL('Master Table'!C8)</f>
        <v>INSERT INTO Contact (Name, Email, Phone) SELECT 'David McGovern','David.McGovern@bentley.com','35314364609' WHERE NOT EXISTS (SELECT Name FROM Contact WHERE Name = 'David McGovern');</v>
      </c>
      <c r="D8" t="str">
        <f>contactsSQL('Master Table'!D8)</f>
        <v>INSERT INTO Contact (Name, Email, Phone) SELECT 'David McGovern','David.McGovern@bentley.com','35314364609' WHERE NOT EXISTS (SELECT Name FROM Contact WHERE Name = 'David McGovern');</v>
      </c>
      <c r="E8" t="str">
        <f>contactsSQL('Master Table'!E8)</f>
        <v>INSERT INTO Contact (Name, Email, Phone) SELECT 'David McGovern','David.McGovern@bentley.com','35314364609' WHERE NOT EXISTS (SELECT Name FROM Contact WHERE Name = 'David McGovern');</v>
      </c>
      <c r="F8" t="str">
        <f>contactsSQL('Master Table'!F8)</f>
        <v>INSERT INTO Contact (Name, Email, Phone) SELECT 'David McGovern','David.McGovern@bentley.com','35314364609' WHERE NOT EXISTS (SELECT Name FROM Contact WHERE Name = 'David McGovern');</v>
      </c>
      <c r="G8" t="str">
        <f>contactsSQL('Master Table'!G8)</f>
        <v>INSERT INTO Contact (Name, Email, Phone) SELECT 'David McGovern','David.McGovern@bentley.com','35314364609' WHERE NOT EXISTS (SELECT Name FROM Contact WHERE Name = 'David McGovern');</v>
      </c>
      <c r="H8" t="str">
        <f>contactsSQL('Master Table'!H8)</f>
        <v>INSERT INTO Contact (Name, Email, Phone) SELECT 'David McGovern','David.McGovern@bentley.com','35314364609' WHERE NOT EXISTS (SELECT Name FROM Contact WHERE Name = 'David McGovern');</v>
      </c>
      <c r="I8" t="str">
        <f>contactsSQL('Master Table'!I8)</f>
        <v/>
      </c>
      <c r="J8" t="str">
        <f>contactsSQL('Master Table'!J8)</f>
        <v/>
      </c>
      <c r="K8" t="str">
        <f>contactsSQL('Master Table'!K8)</f>
        <v/>
      </c>
      <c r="L8" t="str">
        <f>contactsSQL('Master Table'!L8)</f>
        <v/>
      </c>
      <c r="M8" t="str">
        <f>contactsSQL('Master Table'!M8)</f>
        <v>INSERT INTO Contact (Name, Email, Phone) SELECT 'David McGovern','David.McGovern@bentley.com','35314364609' WHERE NOT EXISTS (SELECT Name FROM Contact WHERE Name = 'David McGovern');</v>
      </c>
      <c r="N8" t="str">
        <f>contactsSQL('Master Table'!N8)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'Thorsten Fillmann','Thorsten.Fillmann@bentley.com','35314364615' WHERE NOT EXISTS (SELECT Name FROM Contact WHERE Name = 'Thorsten Fillmann');</v>
      </c>
      <c r="O8" t="str">
        <f>contactsSQL('Master Table'!O8)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'Thorsten Fillmann','Thorsten.Fillmann@bentley.com','35314364615' WHERE NOT EXISTS (SELECT Name FROM Contact WHERE Name = 'Thorsten Fillmann');</v>
      </c>
      <c r="P8" t="str">
        <f>contactsSQL('Master Table'!P8)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'Thorsten Fillmann','Thorsten.Fillmann@bentley.com','35314364615' WHERE NOT EXISTS (SELECT Name FROM Contact WHERE Name = 'Thorsten Fillmann');</v>
      </c>
      <c r="Q8" t="str">
        <f>contactsSQL('Master Table'!Q8)</f>
        <v>INSERT INTO Contact (Name, Email, Phone) SELECT 'Rick Black','Rick.Black@bentley.com','442078610924' WHERE NOT EXISTS (SELECT Name FROM Contact WHERE Name = 'Rick Black');</v>
      </c>
      <c r="R8" t="str">
        <f>contactsSQL('Master Table'!R8)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Rando','Stefania.Rando@bentley.com','3531436' WHERE NOT EXISTS (SELECT Name FROM Contact WHERE Name = 'Stefania Rando');INSERT INTO Contact (Name, Email, Phone) SELECT 'Thorsten Fillmann','Thorsten.Fillmann@bentley.com','3598' WHERE NOT EXISTS (SELECT Name FROM Contact WHERE Name = 'Thorsten Fillmann');INSERT INTO Contact (Name, Email, Phone) SELECT 'Scott Ryan','Scott.Ryan@bentley.com','35314364615' WHERE NOT EXISTS (SELECT Name FROM Contact WHERE Name = 'Scott Ryan');</v>
      </c>
      <c r="S8" t="str">
        <f>contactsSQL('Master Table'!S8)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Rando','Stefania.Rando@bentley.com','3531436' WHERE NOT EXISTS (SELECT Name FROM Contact WHERE Name = 'Stefania Rando');INSERT INTO Contact (Name, Email, Phone) SELECT 'Thorsten Fillmann','Thorsten.Fillmann@bentley.com','3598' WHERE NOT EXISTS (SELECT Name FROM Contact WHERE Name = 'Thorsten Fillmann');INSERT INTO Contact (Name, Email, Phone) SELECT 'Scott Ryan','Scott.Ryan@bentley.com','35314364615' WHERE NOT EXISTS (SELECT Name FROM Contact WHERE Name = 'Scott Ryan');</v>
      </c>
      <c r="T8" t="str">
        <f>contactsSQL('Master Table'!T8)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Rando','Stefania.Rando@bentley.com','3531436' WHERE NOT EXISTS (SELECT Name FROM Contact WHERE Name = 'Stefania Rando');INSERT INTO Contact (Name, Email, Phone) SELECT 'Thorsten Fillmann','Thorsten.Fillmann@bentley.com','3598' WHERE NOT EXISTS (SELECT Name FROM Contact WHERE Name = 'Thorsten Fillmann');INSERT INTO Contact (Name, Email, Phone) SELECT 'Scott Ryan','Scott.Ryan@bentley.com','35314364615' WHERE NOT EXISTS (SELECT Name FROM Contact WHERE Name = 'Scott Ryan');</v>
      </c>
      <c r="U8" t="str">
        <f>contactsSQL('Master Table'!U8)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Rando','Stefania.Rando@bentley.com','3531436' WHERE NOT EXISTS (SELECT Name FROM Contact WHERE Name = 'Stefania Rando');INSERT INTO Contact (Name, Email, Phone) SELECT 'Thorsten Fillmann','Thorsten.Fillmann@bentley.com','3598' WHERE NOT EXISTS (SELECT Name FROM Contact WHERE Name = 'Thorsten Fillmann');INSERT INTO Contact (Name, Email, Phone) SELECT 'Scott Ryan','Scott.Ryan@bentley.com','35314364615' WHERE NOT EXISTS (SELECT Name FROM Contact WHERE Name = 'Scott Ryan');</v>
      </c>
      <c r="V8" t="str">
        <f>contactsSQL('Master Table'!V8)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Rando','Stefania.Rando@bentley.com','3531436' WHERE NOT EXISTS (SELECT Name FROM Contact WHERE Name = 'Stefania Rando');INSERT INTO Contact (Name, Email, Phone) SELECT 'Thorsten Fillmann','Thorsten.Fillmann@bentley.com','3598' WHERE NOT EXISTS (SELECT Name FROM Contact WHERE Name = 'Thorsten Fillmann');INSERT INTO Contact (Name, Email, Phone) SELECT 'Scott Ryan','Scott.Ryan@bentley.com','35314364615' WHERE NOT EXISTS (SELECT Name FROM Contact WHERE Name = 'Scott Ryan');</v>
      </c>
      <c r="W8" t="str">
        <f>contactsSQL('Master Table'!W8)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Rando','Stefania.Rando@bentley.com','3531436' WHERE NOT EXISTS (SELECT Name FROM Contact WHERE Name = 'Stefania Rando');INSERT INTO Contact (Name, Email, Phone) SELECT 'Thorsten Fillmann','Thorsten.Fillmann@bentley.com','3598' WHERE NOT EXISTS (SELECT Name FROM Contact WHERE Name = 'Thorsten Fillmann');INSERT INTO Contact (Name, Email, Phone) SELECT 'Scott Ryan','Scott.Ryan@bentley.com','35314364615' WHERE NOT EXISTS (SELECT Name FROM Contact WHERE Name = 'Scott Ryan');</v>
      </c>
      <c r="X8" t="str">
        <f>contactsSQL('Master Table'!X8)</f>
        <v>INSERT INTO Contact (Name, Email, Phone) SELECT 'Michael Curran','Michael.Curran@bentley.com','35314363563' WHERE NOT EXISTS (SELECT Name FROM Contact WHERE Name = 'Michael Curran');</v>
      </c>
      <c r="Y8" t="str">
        <f>contactsSQL('Master Table'!Y8)</f>
        <v>INSERT INTO Contact (Name, Email, Phone) SELECT 'Michael Curran','Michael.Curran@bentley.com','35314363563' WHERE NOT EXISTS (SELECT Name FROM Contact WHERE Name = 'Michael Curran');</v>
      </c>
      <c r="Z8" t="str">
        <f>contactsSQL('Master Table'!Z8)</f>
        <v>INSERT INTO Contact (Name, Email, Phone) SELECT 'Michael Curran','Michael.Curran@bentley.com','35314363563' WHERE NOT EXISTS (SELECT Name FROM Contact WHERE Name = 'Michael Curran');</v>
      </c>
      <c r="AA8" t="str">
        <f>contactsSQL('Master Table'!AA8)</f>
        <v>INSERT INTO Contact (Name, Email, Phone) SELECT 'Michael Curran','Michael.Curran@bentley.com','35314363563' WHERE NOT EXISTS (SELECT Name FROM Contact WHERE Name = 'Michael Curran');</v>
      </c>
      <c r="AB8" t="str">
        <f>contactsSQL('Master Table'!AB8)</f>
        <v>INSERT INTO Contact (Name, Email, Phone) SELECT 'Craven Naidoo','Craven.Naidoo@bentley.com','27112533018' WHERE NOT EXISTS (SELECT Name FROM Contact WHERE Name = 'Craven Naidoo');</v>
      </c>
      <c r="AC8" t="str">
        <f>contactsSQL('Master Table'!AC8)</f>
        <v>INSERT INTO Contact (Name, Email, Phone) SELECT 'Michael Curran','Michael.Curran@bentley.com','35314363563' WHERE NOT EXISTS (SELECT Name FROM Contact WHERE Name = 'Michael Curran');</v>
      </c>
      <c r="AD8" t="str">
        <f>contactsSQL('Master Table'!AD8)</f>
        <v>INSERT INTO Contact (Name, Email, Phone) SELECT 'Mourad Labguira','Mourad.Labguira@bentley.com','442078617872' WHERE NOT EXISTS (SELECT Name FROM Contact WHERE Name = 'Mourad Labguira');INSERT INTO Contact (Name, Email, Phone) SELECT 'Thorsten Fillmann','Thorsten.Fillmann@bentley.com','35314364615' WHERE NOT EXISTS (SELECT Name FROM Contact WHERE Name = 'Thorsten Fillmann');</v>
      </c>
      <c r="AE8" t="str">
        <f>contactsSQL('Master Table'!AE8)</f>
        <v>INSERT INTO Contact (Name, Email, Phone) SELECT 'Erwin Van Meurs','Erwin.VanMeurs@bentley.com','35314364602' WHERE NOT EXISTS (SELECT Name FROM Contact WHERE Name = 'Erwin Van Meurs');INSERT INTO Contact (Name, Email, Phone) SELECT 'Mourad Labguira','Mourad.Labguira@bentley.com','442078617872' WHERE NOT EXISTS (SELECT Name FROM Contact WHERE Name = 'Mourad Labguira');INSERT INTO Contact (Name, Email, Phone) SELECT 'Thorsten Fillmann','Thorsten.Fillmann@bentley.com','35314364615' WHERE NOT EXISTS (SELECT Name FROM Contact WHERE Name = 'Thorsten Fillmann');</v>
      </c>
      <c r="AF8" t="str">
        <f>contactsSQL('Master Table'!AF8)</f>
        <v>INSERT INTO Contact (Name, Email, Phone) SELECT 'Mourad Labguira','Mourad.Labguira@bentley.com','442078617872' WHERE NOT EXISTS (SELECT Name FROM Contact WHERE Name = 'Mourad Labguira');INSERT INTO Contact (Name, Email, Phone) SELECT 'Thorsten Fillmann','Thorsten.Fillmann@bentley.com','35314364615' WHERE NOT EXISTS (SELECT Name FROM Contact WHERE Name = 'Thorsten Fillmann');</v>
      </c>
      <c r="AG8" t="str">
        <f>contactsSQL('Master Table'!AG8)</f>
        <v>INSERT INTO Contact (Name, Email, Phone) SELECT 'Mourad Labguira','Mourad.Labguira@bentley.com','442078617872' WHERE NOT EXISTS (SELECT Name FROM Contact WHERE Name = 'Mourad Labguira');</v>
      </c>
      <c r="AH8" t="str">
        <f>contactsSQL('Master Table'!AH8)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'Thorsten Fillmann','Thorsten.Fillmann@bentley.com','35314364615' WHERE NOT EXISTS (SELECT Name FROM Contact WHERE Name = 'Thorsten Fillmann');</v>
      </c>
      <c r="AI8" t="str">
        <f>contactsSQL('Master Table'!AI8)</f>
        <v>INSERT INTO Contact (Name, Email, Phone) SELECT 'Rick Black','Rick.Black@bentley.com','442078610924' WHERE NOT EXISTS (SELECT Name FROM Contact WHERE Name = 'Rick Black');</v>
      </c>
      <c r="AJ8" t="str">
        <f>contactsSQL('Master Table'!AJ8)</f>
        <v>INSERT INTO Contact (Name, Email, Phone) SELECT 'Andrew Rhodes','Andrew.Rhodes@bentley.com','441784426602' WHERE NOT EXISTS (SELECT Name FROM Contact WHERE Name = 'Andrew Rhodes');</v>
      </c>
      <c r="AK8" t="str">
        <f>contactsSQL('Master Table'!AK8)</f>
        <v>INSERT INTO Contact (Name, Email, Phone) SELECT 'David Smith','David.Smith@bentley.com','441349865554' WHERE NOT EXISTS (SELECT Name FROM Contact WHERE Name = 'David Smith');</v>
      </c>
      <c r="AL8" t="str">
        <f>contactsSQL('Master Table'!AL8)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M8" t="str">
        <f>contactsSQL('Master Table'!AM8)</f>
        <v>INSERT INTO Contact (Name, Email, Phone) SELECT 'Darja Kalau','darja.kalau@bentley.com','35314363522' WHERE NOT EXISTS (SELECT Name FROM Contact WHERE Name = 'Darja Kalau');</v>
      </c>
      <c r="AN8" t="str">
        <f>contactsSQL('Master Table'!AN8)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O8" t="str">
        <f>contactsSQL('Master Table'!AO8)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8" t="str">
        <f>contactsSQL('Master Table'!AP8)</f>
        <v>INSERT INTO Contact (Name, Email, Phone) SELECT 'Slavco Velichkov','Slavco.Velickov@bentley.com','' WHERE NOT EXISTS (SELECT Name FROM Contact WHERE Name = 'Slavco Velichkov');</v>
      </c>
      <c r="AQ8" t="str">
        <f>contactsSQL('Master Table'!AQ8)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8" t="str">
        <f>contactsSQL('Master Table'!AR8)</f>
        <v>INSERT INTO Contact (Name, Email, Phone) SELECT 'Dan Vogen','Dan.Vogen@bentley.com','16309816500' WHERE NOT EXISTS (SELECT Name FROM Contact WHERE Name = 'Dan Vogen');</v>
      </c>
      <c r="AS8" t="str">
        <f>contactsSQL('Master Table'!AS8)</f>
        <v>INSERT INTO Contact (Name, Email, Phone) SELECT 'David Smith','David.Smith@bentley.com','441349865554' WHERE NOT EXISTS (SELECT Name FROM Contact WHERE Name = 'David Smith');</v>
      </c>
      <c r="AT8" t="str">
        <f>contactsSQL('Master Table'!AT8)</f>
        <v>INSERT INTO Contact (Name, Email, Phone) SELECT 'Ben Witter','Ben.Witter@bentley.com','12676642491' WHERE NOT EXISTS (SELECT Name FROM Contact WHERE Name = 'Ben Witter');</v>
      </c>
      <c r="AU8" t="str">
        <f>contactsSQL('Master Table'!AU8)</f>
        <v>INSERT INTO Contact (Name, Email, Phone) SELECT 'Eric Crivella','Eric.Crivella@bentley.com','18322172802' WHERE NOT EXISTS (SELECT Name FROM Contact WHERE Name = 'Eric Crivella');</v>
      </c>
      <c r="AV8" t="str">
        <f>contactsSQL('Master Table'!AV8)</f>
        <v>INSERT INTO Contact (Name, Email, Phone) SELECT 'Stefan Sigvardsson','Stefan.Sigvardsson@bentley.com','46313378732' WHERE NOT EXISTS (SELECT Name FROM Contact WHERE Name = 'Stefan Sigvardsson');</v>
      </c>
      <c r="AW8" t="str">
        <f>contactsSQL('Master Table'!AW8)</f>
        <v>INSERT INTO Contact (Name, Email, Phone) SELECT 'Stefan Sigvardsson','Stefan.Sigvardsson@bentley.com','46313378732' WHERE NOT EXISTS (SELECT Name FROM Contact WHERE Name = 'Stefan Sigvardsson');</v>
      </c>
      <c r="AX8" t="str">
        <f>contactsSQL('Master Table'!AX8)</f>
        <v>INSERT INTO Contact (Name, Email, Phone) SELECT 'Stefan Sigvardsson','Stefan.Sigvardsson@bentley.com','46313378732' WHERE NOT EXISTS (SELECT Name FROM Contact WHERE Name = 'Stefan Sigvardsson');</v>
      </c>
      <c r="AY8" t="str">
        <f>contactsSQL('Master Table'!AY8)</f>
        <v>INSERT INTO Contact (Name, Email, Phone) SELECT 'Stefan Sigvardsson','Stefan.Sigvardsson@bentley.com','46313378732' WHERE NOT EXISTS (SELECT Name FROM Contact WHERE Name = 'Stefan Sigvardsson');</v>
      </c>
      <c r="AZ8" t="str">
        <f>contactsSQL('Master Table'!AZ8)</f>
        <v>INSERT INTO Contact (Name, Email, Phone) SELECT 'Stefan Sigvardsson','Stefan.Sigvardsson@bentley.com','46313378732' WHERE NOT EXISTS (SELECT Name FROM Contact WHERE Name = 'Stefan Sigvardsson');</v>
      </c>
      <c r="BA8" t="str">
        <f>contactsSQL('Master Table'!BA8)</f>
        <v>INSERT INTO Contact (Name, Email, Phone) SELECT 'Stefan Sigvardsson','Stefan.Sigvardsson@bentley.com','46313378732' WHERE NOT EXISTS (SELECT Name FROM Contact WHERE Name = 'Stefan Sigvardsson');</v>
      </c>
      <c r="BB8" t="str">
        <f>contactsSQL('Master Table'!BB8)</f>
        <v>INSERT INTO Contact (Name, Email, Phone) SELECT 'Stefan Sigvardsson','Stefan.Sigvardsson@bentley.com','46313378732' WHERE NOT EXISTS (SELECT Name FROM Contact WHERE Name = 'Stefan Sigvardsson');</v>
      </c>
      <c r="BC8" t="str">
        <f>contactsSQL('Master Table'!BC8)</f>
        <v>INSERT INTO Contact (Name, Email, Phone) SELECT 'Stefan Sigvardsson','Stefan.Sigvardsson@bentley.com','46313378732' WHERE NOT EXISTS (SELECT Name FROM Contact WHERE Name = 'Stefan Sigvardsson');</v>
      </c>
      <c r="BD8" t="str">
        <f>contactsSQL('Master Table'!BD8)</f>
        <v>INSERT INTO Contact (Name, Email, Phone) SELECT 'Rocco Masiello','Rocco.Masiello@bentley.com','35314364621' WHERE NOT EXISTS (SELECT Name FROM Contact WHERE Name = 'Rocco Masiello');</v>
      </c>
      <c r="BE8" t="str">
        <f>contactsSQL('Master Table'!BE8)</f>
        <v>INSERT INTO Contact (Name, Email, Phone) SELECT 'Eric Crivella','Eric.Crivella@bentley.com','18322172802' WHERE NOT EXISTS (SELECT Name FROM Contact WHERE Name = 'Eric Crivella');</v>
      </c>
      <c r="BF8" t="str">
        <f>contactsSQL('Master Table'!BF8)</f>
        <v>INSERT INTO Contact (Name, Email, Phone) SELECT 'Eric Law','Eric.Law@bentley.com','15102502114' WHERE NOT EXISTS (SELECT Name FROM Contact WHERE Name = 'Eric Law');</v>
      </c>
      <c r="BG8" t="str">
        <f>contactsSQL('Master Table'!BG8)</f>
        <v>INSERT INTO Contact (Name, Email, Phone) SELECT 'Stefan Sigvardsson','Stefan.Sigvardsson@bentley.com','46313378732' WHERE NOT EXISTS (SELECT Name FROM Contact WHERE Name = 'Stefan Sigvardsson');</v>
      </c>
      <c r="BH8" t="str">
        <f>contactsSQL('Master Table'!BH8)</f>
        <v>INSERT INTO Contact (Name, Email, Phone) SELECT 'Stefan Sigvardsson','Stefan.Sigvardsson@bentley.com','46313378732' WHERE NOT EXISTS (SELECT Name FROM Contact WHERE Name = 'Stefan Sigvardsson');</v>
      </c>
      <c r="BI8" t="str">
        <f>contactsSQL('Master Table'!BI8)</f>
        <v>INSERT INTO Contact (Name, Email, Phone) SELECT 'Stefan Sigvardsson','Stefan.Sigvardsson@bentley.com','46313378732' WHERE NOT EXISTS (SELECT Name FROM Contact WHERE Name = 'Stefan Sigvardsson');</v>
      </c>
      <c r="BJ8" t="str">
        <f>contactsSQL('Master Table'!BJ8)</f>
        <v>INSERT INTO Contact (Name, Email, Phone) SELECT 'Stefan Sigvardsson','Stefan.Sigvardsson@bentley.com','46313378732' WHERE NOT EXISTS (SELECT Name FROM Contact WHERE Name = 'Stefan Sigvardsson');</v>
      </c>
      <c r="BK8" t="str">
        <f>contactsSQL('Master Table'!BK8)</f>
        <v>INSERT INTO Contact (Name, Email, Phone) SELECT 'Stefan Sigvardsson','Stefan.Sigvardsson@bentley.com','46313378732' WHERE NOT EXISTS (SELECT Name FROM Contact WHERE Name = 'Stefan Sigvardsson');</v>
      </c>
      <c r="BL8" t="str">
        <f>contactsSQL('Master Table'!BL8)</f>
        <v>INSERT INTO Contact (Name, Email, Phone) SELECT 'Stefan Sigvardsson','Stefan.Sigvardsson@bentley.com','46313378732' WHERE NOT EXISTS (SELECT Name FROM Contact WHERE Name = 'Stefan Sigvardsson');</v>
      </c>
    </row>
    <row r="9" spans="3:64" x14ac:dyDescent="0.25">
      <c r="C9" t="str">
        <f>contactsSQL('Master Table'!C9)</f>
        <v>INSERT INTO Contact (Name, Email, Phone) SELECT 'Carlos Aguera','Carlos.Aguera@bentley.com','442078610973' WHERE NOT EXISTS (SELECT Name FROM Contact WHERE Name = 'Carlos Aguera');</v>
      </c>
      <c r="D9" t="str">
        <f>contactsSQL('Master Table'!D9)</f>
        <v>INSERT INTO Contact (Name, Email, Phone) SELECT 'Allen Adams','Allen.Adams@bentley.com','17604313610' WHERE NOT EXISTS (SELECT Name FROM Contact WHERE Name = 'Allen Adams');</v>
      </c>
      <c r="E9" t="str">
        <f>contactsSQL('Master Table'!E9)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9" t="str">
        <f>contactsSQL('Master Table'!F9)</f>
        <v>INSERT INTO Contact (Name, Email, Phone) SELECT 'Parvinder Jhita','Parvinder.Jhita@bentley.com','1' WHERE NOT EXISTS (SELECT Name FROM Contact WHERE Name = 'Parvinder Jhita');</v>
      </c>
      <c r="G9" t="str">
        <f>contactsSQL('Master Table'!G9)</f>
        <v>INSERT INTO Contact (Name, Email, Phone) SELECT 'Pat Couser','Pat.Couser@bentley.com','' WHERE NOT EXISTS (SELECT Name FROM Contact WHERE Name = 'Pat Couser');</v>
      </c>
      <c r="H9" t="str">
        <f>contactsSQL('Master Table'!H9)</f>
        <v>INSERT INTO Contact (Name, Email, Phone) SELECT 'Georgina Maldonado','Georgina.Maldonado@bentley.com','17133608369' WHERE NOT EXISTS (SELECT Name FROM Contact WHERE Name = 'Georgina Maldonado');</v>
      </c>
      <c r="I9" t="str">
        <f>contactsSQL('Master Table'!I9)</f>
        <v>INSERT INTO Contact (Name, Email, Phone) SELECT 'Gregor Strekelj','Gregor.Strekelj@bentley.com','4331682153165' WHERE NOT EXISTS (SELECT Name FROM Contact WHERE Name = 'Gregor Strekelj');</v>
      </c>
      <c r="J9" t="str">
        <f>contactsSQL('Master Table'!J9)</f>
        <v>INSERT INTO Contact (Name, Email, Phone) SELECT 'Xin Luo','Xin.Luo@bentley.com','19543439359' WHERE NOT EXISTS (SELECT Name FROM Contact WHERE Name = 'Xin Luo');</v>
      </c>
      <c r="K9" t="str">
        <f>contactsSQL('Master Table'!K9)</f>
        <v>INSERT INTO Contact (Name, Email, Phone) SELECT 'Sri Kanneganti','Sri.Kanneganti@bentley.com','19543439325' WHERE NOT EXISTS (SELECT Name FROM Contact WHERE Name = 'Sri Kanneganti');</v>
      </c>
      <c r="L9" t="str">
        <f>contactsSQL('Master Table'!L9)</f>
        <v>INSERT INTO Contact (Name, Email, Phone) SELECT 'Bill Beyer','Bill.Beyer@bentley.com','18166667568' WHERE NOT EXISTS (SELECT Name FROM Contact WHERE Name = 'Bill Beyer');</v>
      </c>
      <c r="M9" t="str">
        <f>contactsSQL('Master Table'!M9)</f>
        <v>INSERT INTO Contact (Name, Email, Phone) SELECT 'David Settlemeyer','David.Settlemyer@bentley.com','16103214610' WHERE NOT EXISTS (SELECT Name FROM Contact WHERE Name = 'David Settlemeyer');</v>
      </c>
      <c r="N9" t="str">
        <f>contactsSQL('Master Table'!N9)</f>
        <v>INSERT INTO Contact (Name, Email, Phone) SELECT 'Andy Smith','Andy.Smith@bentley.com','7046630319' WHERE NOT EXISTS (SELECT Name FROM Contact WHERE Name = 'Andy Smith');</v>
      </c>
      <c r="O9" t="str">
        <f>contactsSQL('Master Table'!O9)</f>
        <v>INSERT INTO Contact (Name, Email, Phone) SELECT 'Andy Smith','Andy.Smith@bentley.com','7046630319' WHERE NOT EXISTS (SELECT Name FROM Contact WHERE Name = 'Andy Smith');</v>
      </c>
      <c r="P9" t="str">
        <f>contactsSQL('Master Table'!P9)</f>
        <v>INSERT INTO Contact (Name, Email, Phone) SELECT 'Paul Demetriou','Paul.Demetriou@bentley.com','12088879204' WHERE NOT EXISTS (SELECT Name FROM Contact WHERE Name = 'Paul Demetriou');</v>
      </c>
      <c r="Q9" t="str">
        <f>contactsSQL('Master Table'!Q9)</f>
        <v>INSERT INTO Contact (Name, Email, Phone) SELECT 'Ian Rosam','Ian.Rosam@bentley.com','442078610313' WHERE NOT EXISTS (SELECT Name FROM Contact WHERE Name = 'Ian Rosam');</v>
      </c>
      <c r="R9" t="str">
        <f>contactsSQL('Master Table'!R9)</f>
        <v>INSERT INTO Contact (Name, Email, Phone) SELECT 'Ian Rosam','Ian.Rosam@bentley.com','442078610313' WHERE NOT EXISTS (SELECT Name FROM Contact WHERE Name = 'Ian Rosam');</v>
      </c>
      <c r="S9" t="str">
        <f>contactsSQL('Master Table'!S9)</f>
        <v>INSERT INTO Contact (Name, Email, Phone) SELECT 'Ian Rosam','Ian.Rosam@bentley.com','442078610313' WHERE NOT EXISTS (SELECT Name FROM Contact WHERE Name = 'Ian Rosam');</v>
      </c>
      <c r="T9" t="str">
        <f>contactsSQL('Master Table'!T9)</f>
        <v>INSERT INTO Contact (Name, Email, Phone) SELECT 'Kivanc Karakas','Kivanc.Karakas@bentley.com','442078610339' WHERE NOT EXISTS (SELECT Name FROM Contact WHERE Name = 'Kivanc Karakas');</v>
      </c>
      <c r="U9" t="str">
        <f>contactsSQL('Master Table'!U9)</f>
        <v>INSERT INTO Contact (Name, Email, Phone) SELECT 'Ian Rosam','Ian.Rosam@bentley.com','442078610313' WHERE NOT EXISTS (SELECT Name FROM Contact WHERE Name = 'Ian Rosam');</v>
      </c>
      <c r="V9" t="str">
        <f>contactsSQL('Master Table'!V9)</f>
        <v>INSERT INTO Contact (Name, Email, Phone) SELECT 'Francois Valois','Francois.Valois@bentley.com','15817817522' WHERE NOT EXISTS (SELECT Name FROM Contact WHERE Name = 'Francois Valois');</v>
      </c>
      <c r="W9" t="str">
        <f>contactsSQL('Master Table'!W9)</f>
        <v>INSERT INTO Contact (Name, Email, Phone) SELECT 'Nicolas Loubier','Nicolas.Loubier@bentley.com','15817817567' WHERE NOT EXISTS (SELECT Name FROM Contact WHERE Name = 'Nicolas Loubier');</v>
      </c>
      <c r="X9" t="str">
        <f>contactsSQL('Master Table'!X9)</f>
        <v>INSERT INTO Contact (Name, Email, Phone) SELECT 'Adnan Ulhaq','Adnan.Ulhaq@bentley.com','92512078422' WHERE NOT EXISTS (SELECT Name FROM Contact WHERE Name = 'Adnan Ulhaq');</v>
      </c>
      <c r="Y9" t="str">
        <f>contactsSQL('Master Table'!Y9)</f>
        <v>INSERT INTO Contact (Name, Email, Phone) SELECT 'Tim Lawrence','Tim.Lawrence@bentley.com','15873158588' WHERE NOT EXISTS (SELECT Name FROM Contact WHERE Name = 'Tim Lawrence');</v>
      </c>
      <c r="Z9" t="str">
        <f>contactsSQL('Master Table'!Z9)</f>
        <v>INSERT INTO Contact (Name, Email, Phone) SELECT 'Abbas Ali','','16104583160' WHERE NOT EXISTS (SELECT Name FROM Contact WHERE Name = 'Abbas Ali');</v>
      </c>
      <c r="AA9" t="str">
        <f>contactsSQL('Master Table'!AA9)</f>
        <v>INSERT INTO Contact (Name, Email, Phone) SELECT 'Rob Harper','Rob.Harper@bentley.com','17137303385' WHERE NOT EXISTS (SELECT Name FROM Contact WHERE Name = 'Rob Harper');</v>
      </c>
      <c r="AB9" t="str">
        <f>contactsSQL('Master Table'!AB9)</f>
        <v>INSERT INTO Contact (Name, Email, Phone) SELECT 'Alain Beland','Alain.Beland@bentley.com','14188802022' WHERE NOT EXISTS (SELECT Name FROM Contact WHERE Name = 'Alain Beland');</v>
      </c>
      <c r="AC9" t="str">
        <f>contactsSQL('Master Table'!AC9)</f>
        <v>INSERT INTO Contact (Name, Email, Phone) SELECT 'Tim Lawrence','Tim.Lawrence@bentley.com','15873158588' WHERE NOT EXISTS (SELECT Name FROM Contact WHERE Name = 'Tim Lawrence');</v>
      </c>
      <c r="AD9" t="str">
        <f>contactsSQL('Master Table'!AD9)</f>
        <v>INSERT INTO Contact (Name, Email, Phone) SELECT 'Benoit Frederique','Benoit.Fredericque@bentley.com','' WHERE NOT EXISTS (SELECT Name FROM Contact WHERE Name = 'Benoit Frederique');</v>
      </c>
      <c r="AE9" t="str">
        <f>contactsSQL('Master Table'!AE9)</f>
        <v>INSERT INTO Contact (Name, Email, Phone) SELECT 'Benoit Frederique','Benoit.Fredericque@bentley.com','' WHERE NOT EXISTS (SELECT Name FROM Contact WHERE Name = 'Benoit Frederique');</v>
      </c>
      <c r="AF9" t="str">
        <f>contactsSQL('Master Table'!AF9)</f>
        <v>INSERT INTO Contact (Name, Email, Phone) SELECT 'Benoit Frederique','Benoit.Fredericque@bentley.com','' WHERE NOT EXISTS (SELECT Name FROM Contact WHERE Name = 'Benoit Frederique');</v>
      </c>
      <c r="AG9" t="str">
        <f>contactsSQL('Master Table'!AG9)</f>
        <v>INSERT INTO Contact (Name, Email, Phone) SELECT 'Benoit Frederique','Benoit.Fredericque@bentley.com','' WHERE NOT EXISTS (SELECT Name FROM Contact WHERE Name = 'Benoit Frederique');</v>
      </c>
      <c r="AH9" t="str">
        <f>contactsSQL('Master Table'!AH9)</f>
        <v>INSERT INTO Contact (Name, Email, Phone) SELECT 'Jim Barr','Jim.Barr@bentley.com','12567241520' WHERE NOT EXISTS (SELECT Name FROM Contact WHERE Name = 'Jim Barr');</v>
      </c>
      <c r="AI9" t="str">
        <f>contactsSQL('Master Table'!AI9)</f>
        <v>INSERT INTO Contact (Name, Email, Phone) SELECT 'Slavica Bozic','Slavica.Bozic@bentley.com','16302338281' WHERE NOT EXISTS (SELECT Name FROM Contact WHERE Name = 'Slavica Bozic');</v>
      </c>
      <c r="AJ9" t="str">
        <f>contactsSQL('Master Table'!AJ9)</f>
        <v>INSERT INTO Contact (Name, Email, Phone) SELECT 'Jim Newman','Jim.Newman@bentley.com','17044332566' WHERE NOT EXISTS (SELECT Name FROM Contact WHERE Name = 'Jim Newman');</v>
      </c>
      <c r="AK9" t="str">
        <f>contactsSQL('Master Table'!AK9)</f>
        <v>INSERT INTO Contact (Name, Email, Phone) SELECT 'Aaron Beazley','Aaron.Beazley@bentley.com','12898162642' WHERE NOT EXISTS (SELECT Name FROM Contact WHERE Name = 'Aaron Beazley');</v>
      </c>
      <c r="AL9" t="str">
        <f>contactsSQL('Master Table'!AL9)</f>
        <v>INSERT INTO Contact (Name, Email, Phone) SELECT 'Gijsbert Noordam','Gijsbert.Noordam@bentley.com','31235560626' WHERE NOT EXISTS (SELECT Name FROM Contact WHERE Name = 'Gijsbert Noordam');</v>
      </c>
      <c r="AM9" t="str">
        <f>contactsSQL('Master Table'!AM9)</f>
        <v>INSERT INTO Contact (Name, Email, Phone) SELECT 'Gregg Herrin','Gregg.Herrin@bentley.com','16104583188' WHERE NOT EXISTS (SELECT Name FROM Contact WHERE Name = 'Gregg Herrin');</v>
      </c>
      <c r="AN9" t="str">
        <f>contactsSQL('Master Table'!AN9)</f>
        <v>INSERT INTO Contact (Name, Email, Phone) SELECT 'Gijsbert Noordam','Gijsbert.Noordam@bentley.com','31235560626' WHERE NOT EXISTS (SELECT Name FROM Contact WHERE Name = 'Gijsbert Noordam');</v>
      </c>
      <c r="AO9" t="str">
        <f>contactsSQL('Master Table'!AO9)</f>
        <v>INSERT INTO Contact (Name, Email, Phone) SELECT 'Russell Page','Russell.Page@bentley.com','13032210689' WHERE NOT EXISTS (SELECT Name FROM Contact WHERE Name = 'Russell Page');</v>
      </c>
      <c r="AP9" t="str">
        <f>contactsSQL('Master Table'!AP9)</f>
        <v>INSERT INTO Contact (Name, Email, Phone) SELECT 'Mal Sharkey','Mal.Sharkey@bentley.com','61396978623' WHERE NOT EXISTS (SELECT Name FROM Contact WHERE Name = 'Mal Sharkey');</v>
      </c>
      <c r="AQ9" t="str">
        <f>contactsSQL('Master Table'!AQ9)</f>
        <v>INSERT INTO Contact (Name, Email, Phone) SELECT 'Aaron Beazily','Aaron.Beazley@bentley.com','12898162642' WHERE NOT EXISTS (SELECT Name FROM Contact WHERE Name = 'Aaron Beazily');</v>
      </c>
      <c r="AR9" t="str">
        <f>contactsSQL('Master Table'!AR9)</f>
        <v>INSERT INTO Contact (Name, Email, Phone) SELECT 'Jim Scott','Jim.Scott@bentley.com','13039670864' WHERE NOT EXISTS (SELECT Name FROM Contact WHERE Name = 'Jim Scott');</v>
      </c>
      <c r="AS9" t="str">
        <f>contactsSQL('Master Table'!AS9)</f>
        <v>INSERT INTO Contact (Name, Email, Phone) SELECT 'Duncan Rodger','Duncan.Rodger@bentley.com','441349865554' WHERE NOT EXISTS (SELECT Name FROM Contact WHERE Name = 'Duncan Rodger');</v>
      </c>
      <c r="AT9" t="str">
        <f>contactsSQL('Master Table'!AT9)</f>
        <v>INSERT INTO Contact (Name, Email, Phone) SELECT 'Taylor Gilmore','Taylor.Gilmore@bentley.com','14126811521' WHERE NOT EXISTS (SELECT Name FROM Contact WHERE Name = 'Taylor Gilmore');</v>
      </c>
      <c r="AU9" t="str">
        <f>contactsSQL('Master Table'!AU9)</f>
        <v>INSERT INTO Contact (Name, Email, Phone) SELECT 'Paolomee Udani','Paolomee.Udani@bentley.com','19252745107' WHERE NOT EXISTS (SELECT Name FROM Contact WHERE Name = 'Paolomee Udani');</v>
      </c>
      <c r="AV9" t="str">
        <f>contactsSQL('Master Table'!AV9)</f>
        <v>INSERT INTO Contact (Name, Email, Phone) SELECT 'Bill McNamara','Bill.McNamara@bentley.com','16104587602' WHERE NOT EXISTS (SELECT Name FROM Contact WHERE Name = 'Bill McNamara');</v>
      </c>
      <c r="AW9" t="str">
        <f>contactsSQL('Master Table'!AW9)</f>
        <v>INSERT INTO Contact (Name, Email, Phone) SELECT 'Bill McNamara','Bill.McNamara@bentley.com','16104587602' WHERE NOT EXISTS (SELECT Name FROM Contact WHERE Name = 'Bill McNamara');</v>
      </c>
      <c r="AX9" t="str">
        <f>contactsSQL('Master Table'!AX9)</f>
        <v>INSERT INTO Contact (Name, Email, Phone) SELECT 'Bill McNamara','Bill.McNamara@bentley.com','16104587602' WHERE NOT EXISTS (SELECT Name FROM Contact WHERE Name = 'Bill McNamara');</v>
      </c>
      <c r="AY9" t="str">
        <f>contactsSQL('Master Table'!AY9)</f>
        <v>INSERT INTO Contact (Name, Email, Phone) SELECT 'Bill McNamara','Bill.McNamara@bentley.com','16104587602' WHERE NOT EXISTS (SELECT Name FROM Contact WHERE Name = 'Bill McNamara');</v>
      </c>
      <c r="AZ9" t="str">
        <f>contactsSQL('Master Table'!AZ9)</f>
        <v>INSERT INTO Contact (Name, Email, Phone) SELECT 'Bill McNamara','Bill.McNamara@bentley.com','16104587602' WHERE NOT EXISTS (SELECT Name FROM Contact WHERE Name = 'Bill McNamara');</v>
      </c>
      <c r="BA9" t="str">
        <f>contactsSQL('Master Table'!BA9)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9" t="str">
        <f>contactsSQL('Master Table'!BB9)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9" t="str">
        <f>contactsSQL('Master Table'!BC9)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9" t="str">
        <f>contactsSQL('Master Table'!BD9)</f>
        <v>INSERT INTO Contact (Name, Email, Phone) SELECT 'Joe Granville','Joe.Granville@bentley.com','16104582951' WHERE NOT EXISTS (SELECT Name FROM Contact WHERE Name = 'Joe Granville');</v>
      </c>
      <c r="BE9" t="str">
        <f>contactsSQL('Master Table'!BE9)</f>
        <v>INSERT INTO Contact (Name, Email, Phone) SELECT 'Beth Buerger','Beth.Buerger@bentley.com','17205283380' WHERE NOT EXISTS (SELECT Name FROM Contact WHERE Name = 'Beth Buerger');</v>
      </c>
      <c r="BF9" t="str">
        <f>contactsSQL('Master Table'!BF9)</f>
        <v>INSERT INTO Contact (Name, Email, Phone) SELECT 'Sam Stuart','Sam.Stuart@bentley.com','' WHERE NOT EXISTS (SELECT Name FROM Contact WHERE Name = 'Sam Stuart');</v>
      </c>
      <c r="BG9" t="str">
        <f>contactsSQL('Master Table'!BG9)</f>
        <v>INSERT INTO Contact (Name, Email, Phone) SELECT 'Rimantas Varanavicius','imantas.Varanavicius@bentley.com','37052398145' WHERE NOT EXISTS (SELECT Name FROM Contact WHERE Name = 'Rimantas Varanavicius');</v>
      </c>
      <c r="BH9" t="str">
        <f>contactsSQL('Master Table'!BH9)</f>
        <v>INSERT INTO Contact (Name, Email, Phone) SELECT 'Jo Wright','Jo.Wright@bentley.com','12569701111' WHERE NOT EXISTS (SELECT Name FROM Contact WHERE Name = 'Jo Wright');</v>
      </c>
      <c r="BI9" t="str">
        <f>contactsSQL('Master Table'!BI9)</f>
        <v>INSERT INTO Contact (Name, Email, Phone) SELECT 'Jo Wright','Jo.Wright@bentley.com','12569701111' WHERE NOT EXISTS (SELECT Name FROM Contact WHERE Name = 'Jo Wright');</v>
      </c>
      <c r="BJ9" t="str">
        <f>contactsSQL('Master Table'!BJ9)</f>
        <v>INSERT INTO Contact (Name, Email, Phone) SELECT 'Jo Wright','Jo.Wright@bentley.com','12569701111' WHERE NOT EXISTS (SELECT Name FROM Contact WHERE Name = 'Jo Wright');</v>
      </c>
      <c r="BK9" t="str">
        <f>contactsSQL('Master Table'!BK9)</f>
        <v>INSERT INTO Contact (Name, Email, Phone) SELECT 'Jo Wright','Jo.Wright@bentley.com','12569701111' WHERE NOT EXISTS (SELECT Name FROM Contact WHERE Name = 'Jo Wright');</v>
      </c>
      <c r="BL9" t="str">
        <f>contactsSQL('Master Table'!BL9)</f>
        <v>INSERT INTO Contact (Name, Email, Phone) SELECT 'Jo Wright','Jo.Wright@bentley.com','12569701111' WHERE NOT EXISTS (SELECT Name FROM Contact WHERE Name = 'Jo Wright');</v>
      </c>
    </row>
    <row r="10" spans="3:64" x14ac:dyDescent="0.25">
      <c r="C10" t="str">
        <f>contactsSQL('Master Table'!C10)</f>
        <v>INSERT INTO Contact (Name, Email, Phone) SELECT 'Badr Ziane','Badreddine.Ziane@bentley.com','33155238407' WHERE NOT EXISTS (SELECT Name FROM Contact WHERE Name = 'Badr Ziane');</v>
      </c>
      <c r="D10" t="str">
        <f>contactsSQL('Master Table'!D10)</f>
        <v>INSERT INTO Contact (Name, Email, Phone) SELECT 'Richard Tully','Richard.Tully@bentley.com','442078617874' WHERE NOT EXISTS (SELECT Name FROM Contact WHERE Name = 'Richard Tully');</v>
      </c>
      <c r="E10" t="str">
        <f>contactsSQL('Master Table'!E10)</f>
        <v>INSERT INTO Contact (Name, Email, Phone) SELECT 'Phil Senior','Phil.Senior@bentley.com','442078610982' WHERE NOT EXISTS (SELECT Name FROM Contact WHERE Name = 'Phil Senior');</v>
      </c>
      <c r="F10" t="str">
        <f>contactsSQL('Master Table'!F10)</f>
        <v>INSERT INTO Contact (Name, Email, Phone) SELECT 'Geoff McDonald','Geoff.Mcdonald@bentley.com','15043025174' WHERE NOT EXISTS (SELECT Name FROM Contact WHERE Name = 'Geoff McDonald');</v>
      </c>
      <c r="G10" t="str">
        <f>contactsSQL('Master Table'!G10)</f>
        <v>INSERT INTO Contact (Name, Email, Phone) SELECT 'Ian Sevilla','Ian.Sevilla@bentley.com','61894311511' WHERE NOT EXISTS (SELECT Name FROM Contact WHERE Name = 'Ian Sevilla');</v>
      </c>
      <c r="H10" t="str">
        <f>contactsSQL('Master Table'!H10)</f>
        <v>INSERT INTO Contact (Name, Email, Phone) SELECT 'Rupesh Kumar','Rupesh.Kumar@bentley.com','160379403439' WHERE NOT EXISTS (SELECT Name FROM Contact WHERE Name = 'Rupesh Kumar');</v>
      </c>
      <c r="I10" t="str">
        <f>contactsSQL('Master Table'!I10)</f>
        <v>INSERT INTO Contact (Name, Email, Phone) SELECT 'Diether Wagner','Diether.Wagner@bentley.com','4331682153162' WHERE NOT EXISTS (SELECT Name FROM Contact WHERE Name = 'Diether Wagner');</v>
      </c>
      <c r="J10" t="str">
        <f>contactsSQL('Master Table'!J10)</f>
        <v>INSERT INTO Contact (Name, Email, Phone) SELECT 'Vinay Mysore','Vinay.Mysore@bentley.com','91' WHERE NOT EXISTS (SELECT Name FROM Contact WHERE Name = 'Vinay Mysore');</v>
      </c>
      <c r="K10" t="str">
        <f>contactsSQL('Master Table'!K10)</f>
        <v>INSERT INTO Contact (Name, Email, Phone) SELECT 'Dilip Matange','Dilip.Matange@bentley.com','19543439338' WHERE NOT EXISTS (SELECT Name FROM Contact WHERE Name = 'Dilip Matange');</v>
      </c>
      <c r="L10" t="str">
        <f>contactsSQL('Master Table'!L10)</f>
        <v>INSERT INTO Contact (Name, Email, Phone) SELECT 'Dilip Matange','Dilip.Matange@bentley.com','19543439338' WHERE NOT EXISTS (SELECT Name FROM Contact WHERE Name = 'Dilip Matange');</v>
      </c>
      <c r="M10" t="str">
        <f>contactsSQL('Master Table'!M10)</f>
        <v>INSERT INTO Contact (Name, Email, Phone) SELECT 'Chris Croucher','Chris.Croucher@bentley.com','16103214606' WHERE NOT EXISTS (SELECT Name FROM Contact WHERE Name = 'Chris Croucher');</v>
      </c>
      <c r="N10" t="str">
        <f>contactsSQL('Master Table'!N10)</f>
        <v>INSERT INTO Contact (Name, Email, Phone) SELECT 'Susanne Trierscheid','Susanne.Trierscheid@bentley.com','498996243238' WHERE NOT EXISTS (SELECT Name FROM Contact WHERE Name = 'Susanne Trierscheid');</v>
      </c>
      <c r="O10" t="str">
        <f>contactsSQL('Master Table'!O10)</f>
        <v>INSERT INTO Contact (Name, Email, Phone) SELECT 'Steve Brown','Steve.Brown@bentley.com','44' WHERE NOT EXISTS (SELECT Name FROM Contact WHERE Name = 'Steve Brown');</v>
      </c>
      <c r="P10" t="str">
        <f>contactsSQL('Master Table'!P10)</f>
        <v>INSERT INTO Contact (Name, Email, Phone) SELECT 'Steve Brown','Steve.Brown@bentley.com','44' WHERE NOT EXISTS (SELECT Name FROM Contact WHERE Name = 'Steve Brown');</v>
      </c>
      <c r="Q10" t="str">
        <f>contactsSQL('Master Table'!Q10)</f>
        <v>INSERT INTO Contact (Name, Email, Phone) SELECT 'Kuljinder Gill','Kuljinder.Gill@bentley.com','441344742808' WHERE NOT EXISTS (SELECT Name FROM Contact WHERE Name = 'Kuljinder Gill');</v>
      </c>
      <c r="R10" t="str">
        <f>contactsSQL('Master Table'!R10)</f>
        <v>INSERT INTO Contact (Name, Email, Phone) SELECT 'Kuljinder Gill','Kuljinder.Gill@bentley.com','441344742808' WHERE NOT EXISTS (SELECT Name FROM Contact WHERE Name = 'Kuljinder Gill');</v>
      </c>
      <c r="S10" t="str">
        <f>contactsSQL('Master Table'!S10)</f>
        <v>INSERT INTO Contact (Name, Email, Phone) SELECT 'Kuljinder Gill','Kuljinder.Gill@bentley.com','441344742808' WHERE NOT EXISTS (SELECT Name FROM Contact WHERE Name = 'Kuljinder Gill');</v>
      </c>
      <c r="T10" t="str">
        <f>contactsSQL('Master Table'!T10)</f>
        <v>INSERT INTO Contact (Name, Email, Phone) SELECT 'Kuljinder Gill','Kuljinder.Gill@bentley.com','441344742808' WHERE NOT EXISTS (SELECT Name FROM Contact WHERE Name = 'Kuljinder Gill');</v>
      </c>
      <c r="U10" t="str">
        <f>contactsSQL('Master Table'!U10)</f>
        <v>INSERT INTO Contact (Name, Email, Phone) SELECT 'Kuljinder Gill','Kuljinder.Gill@bentley.com','441344742808' WHERE NOT EXISTS (SELECT Name FROM Contact WHERE Name = 'Kuljinder Gill');</v>
      </c>
      <c r="V10" t="str">
        <f>contactsSQL('Master Table'!V10)</f>
        <v>INSERT INTO Contact (Name, Email, Phone) SELECT 'Kevin McDonald','Kevin.McDonald@bentley.com','12569701123' WHERE NOT EXISTS (SELECT Name FROM Contact WHERE Name = 'Kevin McDonald');</v>
      </c>
      <c r="W10" t="str">
        <f>contactsSQL('Master Table'!W10)</f>
        <v>INSERT INTO Contact (Name, Email, Phone) SELECT 'Eva Cantarero','Eva.Cantarero@bentley.com','34913728975' WHERE NOT EXISTS (SELECT Name FROM Contact WHERE Name = 'Eva Cantarero');</v>
      </c>
      <c r="X10" t="str">
        <f>contactsSQL('Master Table'!X10)</f>
        <v>INSERT INTO Contact (Name, Email, Phone) SELECT 'Jaroslaw Sitek','Jaroslaw.Sitek@bentley.com','48225040755' WHERE NOT EXISTS (SELECT Name FROM Contact WHERE Name = 'Jaroslaw Sitek');</v>
      </c>
      <c r="Y10" t="str">
        <f>contactsSQL('Master Table'!Y10)</f>
        <v>INSERT INTO Contact (Name, Email, Phone) SELECT 'Tim Lawrence','Tim.Lawrence@bentley.com','15873158588' WHERE NOT EXISTS (SELECT Name FROM Contact WHERE Name = 'Tim Lawrence');</v>
      </c>
      <c r="Z10" t="str">
        <f>contactsSQL('Master Table'!Z10)</f>
        <v>INSERT INTO Contact (Name, Email, Phone) SELECT 'Jaroslaw Sitek','Jaroslaw.Sitek@bentley.com','48225040755' WHERE NOT EXISTS (SELECT Name FROM Contact WHERE Name = 'Jaroslaw Sitek');</v>
      </c>
      <c r="AA10" t="str">
        <f>contactsSQL('Master Table'!AA10)</f>
        <v>INSERT INTO Contact (Name, Email, Phone) SELECT 'Klaus Hatle','Klaus.Hatle@bentley.com','4747877075' WHERE NOT EXISTS (SELECT Name FROM Contact WHERE Name = 'Klaus Hatle');</v>
      </c>
      <c r="AB10" t="str">
        <f>contactsSQL('Master Table'!AB10)</f>
        <v>INSERT INTO Contact (Name, Email, Phone) SELECT 'Alain Beland','Alain.Beland@bentley.com','14188802022' WHERE NOT EXISTS (SELECT Name FROM Contact WHERE Name = 'Alain Beland');</v>
      </c>
      <c r="AC10" t="str">
        <f>contactsSQL('Master Table'!AC10)</f>
        <v>INSERT INTO Contact (Name, Email, Phone) SELECT 'Peter Alspaugh','Peter.Alspaugh@bentley.com','18322172816' WHERE NOT EXISTS (SELECT Name FROM Contact WHERE Name = 'Peter Alspaugh');</v>
      </c>
      <c r="AD10" t="str">
        <f>contactsSQL('Master Table'!AD10)</f>
        <v>INSERT INTO Contact (Name, Email, Phone) SELECT 'Benoit Frederique','Benoit.Fredericque@bentley.com','' WHERE NOT EXISTS (SELECT Name FROM Contact WHERE Name = 'Benoit Frederique');</v>
      </c>
      <c r="AE10" t="str">
        <f>contactsSQL('Master Table'!AE10)</f>
        <v>INSERT INTO Contact (Name, Email, Phone) SELECT 'Benoit Frederique','Benoit.Fredericque@bentley.com','' WHERE NOT EXISTS (SELECT Name FROM Contact WHERE Name = 'Benoit Frederique');</v>
      </c>
      <c r="AF10" t="str">
        <f>contactsSQL('Master Table'!AF10)</f>
        <v>INSERT INTO Contact (Name, Email, Phone) SELECT 'Benoit Frederique','Benoit.Fredericque@bentley.com','' WHERE NOT EXISTS (SELECT Name FROM Contact WHERE Name = 'Benoit Frederique');</v>
      </c>
      <c r="AG10" t="str">
        <f>contactsSQL('Master Table'!AG10)</f>
        <v>INSERT INTO Contact (Name, Email, Phone) SELECT 'Benoit Frederique','Benoit.Fredericque@bentley.com','' WHERE NOT EXISTS (SELECT Name FROM Contact WHERE Name = 'Benoit Frederique');</v>
      </c>
      <c r="AH10" t="str">
        <f>contactsSQL('Master Table'!AH10)</f>
        <v>INSERT INTO Contact (Name, Email, Phone) SELECT 'Gernot Jeromin','Gernot.Jeromin@bentley.com','4915116351668' WHERE NOT EXISTS (SELECT Name FROM Contact WHERE Name = 'Gernot Jeromin');</v>
      </c>
      <c r="AI10" t="str">
        <f>contactsSQL('Master Table'!AI10)</f>
        <v>INSERT INTO Contact (Name, Email, Phone) SELECT 'Andreas Stolpe','Andreas.Stolpe@bentley.com','493343291672' WHERE NOT EXISTS (SELECT Name FROM Contact WHERE Name = 'Andreas Stolpe');</v>
      </c>
      <c r="AJ10" t="str">
        <f>contactsSQL('Master Table'!AJ10)</f>
        <v>INSERT INTO Contact (Name, Email, Phone) SELECT 'Ralph Schopen','Ralph.Schopen@bentley.com','491607056921' WHERE NOT EXISTS (SELECT Name FROM Contact WHERE Name = 'Ralph Schopen');</v>
      </c>
      <c r="AK10" t="str">
        <f>contactsSQL('Master Table'!AK10)</f>
        <v>INSERT INTO Contact (Name, Email, Phone) SELECT 'Harrie van Mullekom','Harrie.vanMullekom@bentley.com','31235560635' WHERE NOT EXISTS (SELECT Name FROM Contact WHERE Name = 'Harrie van Mullekom');</v>
      </c>
      <c r="AL10" t="str">
        <f>contactsSQL('Master Table'!AL10)</f>
        <v>INSERT INTO Contact (Name, Email, Phone) SELECT 'Jukka Kivela','Jukka.Kivela@bentley.com','358108301229' WHERE NOT EXISTS (SELECT Name FROM Contact WHERE Name = 'Jukka Kivela');</v>
      </c>
      <c r="AM10" t="str">
        <f>contactsSQL('Master Table'!AM10)</f>
        <v>INSERT INTO Contact (Name, Email, Phone) SELECT 'Johannes Klick','Johannes.Klick@bentley.com','4962012908161' WHERE NOT EXISTS (SELECT Name FROM Contact WHERE Name = 'Johannes Klick');</v>
      </c>
      <c r="AN10" t="str">
        <f>contactsSQL('Master Table'!AN10)</f>
        <v>INSERT INTO Contact (Name, Email, Phone) SELECT 'Lon Opp','Lon.Opp@bentley.com','12569701127' WHERE NOT EXISTS (SELECT Name FROM Contact WHERE Name = 'Lon Opp');</v>
      </c>
      <c r="AO10" t="str">
        <f>contactsSQL('Master Table'!AO10)</f>
        <v>INSERT INTO Contact (Name, Email, Phone) SELECT 'Clive Hackforth','Clive.Hackforth@bentley.com','442078610933' WHERE NOT EXISTS (SELECT Name FROM Contact WHERE Name = 'Clive Hackforth');</v>
      </c>
      <c r="AP10" t="str">
        <f>contactsSQL('Master Table'!AP10)</f>
        <v>INSERT INTO Contact (Name, Email, Phone) SELECT 'Kristen Dietrich','Kristen.Dietrich@bentley.com','12038050414' WHERE NOT EXISTS (SELECT Name FROM Contact WHERE Name = 'Kristen Dietrich');</v>
      </c>
      <c r="AQ10" t="str">
        <f>contactsSQL('Master Table'!AQ10)</f>
        <v>INSERT INTO Contact (Name, Email, Phone) SELECT 'Joanna Slowinska','Joanna.Slowinska@bentley.com','442078610317' WHERE NOT EXISTS (SELECT Name FROM Contact WHERE Name = 'Joanna Slowinska');</v>
      </c>
      <c r="AR10" t="str">
        <f>contactsSQL('Master Table'!AR10)</f>
        <v>INSERT INTO Contact (Name, Email, Phone) SELECT 'Richard Ellis','Richard.Ellis@bentley.com','6421611832' WHERE NOT EXISTS (SELECT Name FROM Contact WHERE Name = 'Richard Ellis');</v>
      </c>
      <c r="AS10" t="str">
        <f>contactsSQL('Master Table'!AS10)</f>
        <v>INSERT INTO Contact (Name, Email, Phone) SELECT 'Neil Pickin','Neil.Pickin@bentley.com','441619731462' WHERE NOT EXISTS (SELECT Name FROM Contact WHERE Name = 'Neil Pickin');</v>
      </c>
      <c r="AT10" t="str">
        <f>contactsSQL('Master Table'!AT10)</f>
        <v>INSERT INTO Contact (Name, Email, Phone) SELECT 'Mark Mazzeo','Mark.Mazzeo@bentley.com','14122303034' WHERE NOT EXISTS (SELECT Name FROM Contact WHERE Name = 'Mark Mazzeo');</v>
      </c>
      <c r="AU10" t="str">
        <f>contactsSQL('Master Table'!AU10)</f>
        <v>INSERT INTO Contact (Name, Email, Phone) SELECT 'Paul Johnson','Paul.Johnson@bentley.com','16104583191' WHERE NOT EXISTS (SELECT Name FROM Contact WHERE Name = 'Paul Johnson');</v>
      </c>
      <c r="AV10" t="str">
        <f>contactsSQL('Master Table'!AV10)</f>
        <v>INSERT INTO Contact (Name, Email, Phone) SELECT 'Arturas Zidonis','Arturas.Zidonis@bentley.com','37052507277' WHERE NOT EXISTS (SELECT Name FROM Contact WHERE Name = 'Arturas Zidonis');</v>
      </c>
      <c r="AW10" t="str">
        <f>contactsSQL('Master Table'!AW10)</f>
        <v>INSERT INTO Contact (Name, Email, Phone) SELECT 'Justinas Verbickas','Justinas.Verbickas@bentley.com','37052503337' WHERE NOT EXISTS (SELECT Name FROM Contact WHERE Name = 'Justinas Verbickas');</v>
      </c>
      <c r="AX10" t="str">
        <f>contactsSQL('Master Table'!AX10)</f>
        <v>INSERT INTO Contact (Name, Email, Phone) SELECT 'Arturas Zidonis','Arturas.Zidonis@bentley.com','37052507277' WHERE NOT EXISTS (SELECT Name FROM Contact WHERE Name = 'Arturas Zidonis');</v>
      </c>
      <c r="AY10" t="str">
        <f>contactsSQL('Master Table'!AY10)</f>
        <v>INSERT INTO Contact (Name, Email, Phone) SELECT 'Arturas Zidonis','Arturas.Zidonis@bentley.com','37052507277' WHERE NOT EXISTS (SELECT Name FROM Contact WHERE Name = 'Arturas Zidonis');</v>
      </c>
      <c r="AZ10" t="str">
        <f>contactsSQL('Master Table'!AZ10)</f>
        <v>INSERT INTO Contact (Name, Email, Phone) SELECT 'Arturas Zidonis','Arturas.Zidonis@bentley.com','37052507277' WHERE NOT EXISTS (SELECT Name FROM Contact WHERE Name = 'Arturas Zidonis');</v>
      </c>
      <c r="BA10" t="str">
        <f>contactsSQL('Master Table'!BA10)</f>
        <v>INSERT INTO Contact (Name, Email, Phone) SELECT 'Justinas Verbickas','Justinas.Verbickas@bentley.com','37052503337' WHERE NOT EXISTS (SELECT Name FROM Contact WHERE Name = 'Justinas Verbickas');</v>
      </c>
      <c r="BB10" t="str">
        <f>contactsSQL('Master Table'!BB10)</f>
        <v>INSERT INTO Contact (Name, Email, Phone) SELECT 'Justinas Verbickas','Justinas.Verbickas@bentley.com','37052503337' WHERE NOT EXISTS (SELECT Name FROM Contact WHERE Name = 'Justinas Verbickas');</v>
      </c>
      <c r="BC10" t="str">
        <f>contactsSQL('Master Table'!BC10)</f>
        <v>INSERT INTO Contact (Name, Email, Phone) SELECT 'Justinas Verbickas','Justinas.Verbickas@bentley.com','37052503337' WHERE NOT EXISTS (SELECT Name FROM Contact WHERE Name = 'Justinas Verbickas');</v>
      </c>
      <c r="BD10" t="str">
        <f>contactsSQL('Master Table'!BD10)</f>
        <v>INSERT INTO Contact (Name, Email, Phone) SELECT 'Paul Johnson','Paul.Johnson@bentley.com','16104583191' WHERE NOT EXISTS (SELECT Name FROM Contact WHERE Name = 'Paul Johnson');</v>
      </c>
      <c r="BE10" t="str">
        <f>contactsSQL('Master Table'!BE10)</f>
        <v>INSERT INTO Contact (Name, Email, Phone) SELECT 'Paul Johnson','Paul.Johnson@bentley.com','16104583191' WHERE NOT EXISTS (SELECT Name FROM Contact WHERE Name = 'Paul Johnson');</v>
      </c>
      <c r="BF10" t="str">
        <f>contactsSQL('Master Table'!BF10)</f>
        <v>INSERT INTO Contact (Name, Email, Phone) SELECT 'Matt Starke','Matt.Starke@bentley.com','15102502118' WHERE NOT EXISTS (SELECT Name FROM Contact WHERE Name = 'Matt Starke');</v>
      </c>
      <c r="BG10" t="str">
        <f>contactsSQL('Master Table'!BG10)</f>
        <v>INSERT INTO Contact (Name, Email, Phone) SELECT 'Arturas Baranauskas','Arturas.Baranauskas@bentley.com','37052507280' WHERE NOT EXISTS (SELECT Name FROM Contact WHERE Name = 'Arturas Baranauskas');</v>
      </c>
      <c r="BH10" t="str">
        <f>contactsSQL('Master Table'!BH10)</f>
        <v>INSERT INTO Contact (Name, Email, Phone) SELECT 'Arturas Baranauskas','Arturas.Baranauskas@bentley.com','37052507280' WHERE NOT EXISTS (SELECT Name FROM Contact WHERE Name = 'Arturas Baranauskas');</v>
      </c>
      <c r="BI10" t="str">
        <f>contactsSQL('Master Table'!BI10)</f>
        <v>INSERT INTO Contact (Name, Email, Phone) SELECT 'Justinas Verbickas','Justinas.Verbickas@bentley.com','37052503337' WHERE NOT EXISTS (SELECT Name FROM Contact WHERE Name = 'Justinas Verbickas');</v>
      </c>
      <c r="BJ10" t="str">
        <f>contactsSQL('Master Table'!BJ10)</f>
        <v>INSERT INTO Contact (Name, Email, Phone) SELECT 'Arturas Zidonis','Arturas.Zidonis@bentley.com','37052507277' WHERE NOT EXISTS (SELECT Name FROM Contact WHERE Name = 'Arturas Zidonis');</v>
      </c>
      <c r="BK10" t="str">
        <f>contactsSQL('Master Table'!BK10)</f>
        <v>INSERT INTO Contact (Name, Email, Phone) SELECT 'Evert de Jong','Evert.deJong@bentley.com','31235560545' WHERE NOT EXISTS (SELECT Name FROM Contact WHERE Name = 'Evert de Jong');</v>
      </c>
      <c r="BL10" t="str">
        <f>contactsSQL('Master Table'!BL10)</f>
        <v>INSERT INTO Contact (Name, Email, Phone) SELECT 'Evert de Jong','Evert.deJong@bentley.com','31235560545' WHERE NOT EXISTS (SELECT Name FROM Contact WHERE Name = 'Evert de Jong');</v>
      </c>
    </row>
    <row r="11" spans="3:64" x14ac:dyDescent="0.25">
      <c r="C11" t="str">
        <f>contactsSQL('Master Table'!C11)</f>
        <v>INSERT INTO Contact (Name, Email, Phone) SELECT 'Pradip Maity','Pradip.Maity@bentley.com','6566926576' WHERE NOT EXISTS (SELECT Name FROM Contact WHERE Name = 'Pradip Maity');</v>
      </c>
      <c r="D11" t="str">
        <f>contactsSQL('Master Table'!D11)</f>
        <v>INSERT INTO Contact (Name, Email, Phone) SELECT 'Pradip Maity','Pradip.Maity@bentley.com','6566926576' WHERE NOT EXISTS (SELECT Name FROM Contact WHERE Name = 'Pradip Maity');</v>
      </c>
      <c r="E11" t="str">
        <f>contactsSQL('Master Table'!E11)</f>
        <v>INSERT INTO Contact (Name, Email, Phone) SELECT 'Pradip Maity','Pradip.Maity@bentley.com','6566926576' WHERE NOT EXISTS (SELECT Name FROM Contact WHERE Name = 'Pradip Maity');</v>
      </c>
      <c r="F11" t="str">
        <f>contactsSQL('Master Table'!F11)</f>
        <v>INSERT INTO Contact (Name, Email, Phone) SELECT 'Pradip Maity','Pradip.Maity@bentley.com','6566926576' WHERE NOT EXISTS (SELECT Name FROM Contact WHERE Name = 'Pradip Maity');</v>
      </c>
      <c r="G11" t="str">
        <f>contactsSQL('Master Table'!G11)</f>
        <v>INSERT INTO Contact (Name, Email, Phone) SELECT 'Pradip Maity','Pradip.Maity@bentley.com','6566926576' WHERE NOT EXISTS (SELECT Name FROM Contact WHERE Name = 'Pradip Maity');</v>
      </c>
      <c r="H11" t="str">
        <f>contactsSQL('Master Table'!H11)</f>
        <v>INSERT INTO Contact (Name, Email, Phone) SELECT 'Pradip Maity','Pradip.Maity@bentley.com','6566926576' WHERE NOT EXISTS (SELECT Name FROM Contact WHERE Name = 'Pradip Maity');</v>
      </c>
      <c r="I11" t="str">
        <f>contactsSQL('Master Table'!I11)</f>
        <v/>
      </c>
      <c r="J11" t="str">
        <f>contactsSQL('Master Table'!J11)</f>
        <v/>
      </c>
      <c r="K11" t="str">
        <f>contactsSQL('Master Table'!K11)</f>
        <v/>
      </c>
      <c r="L11" t="str">
        <f>contactsSQL('Master Table'!L11)</f>
        <v/>
      </c>
      <c r="M11" t="str">
        <f>contactsSQL('Master Table'!M11)</f>
        <v/>
      </c>
      <c r="N11" t="str">
        <f>contactsSQL('Master Table'!N11)</f>
        <v>INSERT INTO Contact (Name, Email, Phone) SELECT 'Ali Gondal','Ali.Gondal@bentley.com','92512078402' WHERE NOT EXISTS (SELECT Name FROM Contact WHERE Name = 'Ali Gondal');INSERT INTO Contact (Name, Email, Phone) SELECT 'Jagadeesh Thiyagarajan','Jagadeesh.Thiyagarajan@bentley.com','914449056607' WHERE NOT EXISTS (SELECT Name FROM Contact WHERE Name = 'Jagadeesh Thiyagarajan');</v>
      </c>
      <c r="O11" t="str">
        <f>contactsSQL('Master Table'!O11)</f>
        <v>INSERT INTO Contact (Name, Email, Phone) SELECT 'Ali Gondal','Ali.Gondal@bentley.com','92512078402' WHERE NOT EXISTS (SELECT Name FROM Contact WHERE Name = 'Ali Gondal');INSERT INTO Contact (Name, Email, Phone) SELECT 'Jagadeesh Thiyagarajan','Jagadeesh.Thiyagarajan@bentley.com','914449056607' WHERE NOT EXISTS (SELECT Name FROM Contact WHERE Name = 'Jagadeesh Thiyagarajan');</v>
      </c>
      <c r="P11" t="str">
        <f>contactsSQL('Master Table'!P11)</f>
        <v>INSERT INTO Contact (Name, Email, Phone) SELECT 'Ali Gondal','Ali.Gondal@bentley.com','92512078402' WHERE NOT EXISTS (SELECT Name FROM Contact WHERE Name = 'Ali Gondal');INSERT INTO Contact (Name, Email, Phone) SELECT 'Jagadeesh Thiyagarajan','Jagadeesh.Thiyagarajan@bentley.com','914449056607' WHERE NOT EXISTS (SELECT Name FROM Contact WHERE Name = 'Jagadeesh Thiyagarajan');</v>
      </c>
      <c r="Q11" t="str">
        <f>contactsSQL('Master Table'!Q11)</f>
        <v>INSERT INTO Contact (Name, Email, Phone) SELECT 'Ali Gondal','Ali.Gondal@bentley.com','92512078402' WHERE NOT EXISTS (SELECT Name FROM Contact WHERE Name = 'Ali Gondal');INSERT INTO Contact (Name, Email, Phone) SELECT 'Jagadeesh Thiyagarajan','Jagadeesh.Thiyagarajan@bentley.com','914449056607' WHERE NOT EXISTS (SELECT Name FROM Contact WHERE Name = 'Jagadeesh Thiyagarajan');</v>
      </c>
      <c r="R11" t="str">
        <f>contactsSQL('Master Table'!R11)</f>
        <v>INSERT INTO Contact (Name, Email, Phone) SELECT 'Ali Gondal','Ali.Gondal@bentley.com','92512078402' WHERE NOT EXISTS (SELECT Name FROM Contact WHERE Name = 'Ali Gondal');INSERT INTO Contact (Name, Email, Phone) SELECT 'Priyanka Shori','Priyanka.Shori@bentley.com','919999915498' WHERE NOT EXISTS (SELECT Name FROM Contact WHERE Name = 'Priyanka Shori');</v>
      </c>
      <c r="S11" t="str">
        <f>contactsSQL('Master Table'!S11)</f>
        <v>INSERT INTO Contact (Name, Email, Phone) SELECT 'Ali Gondal','Ali.Gondal@bentley.com','92512078402' WHERE NOT EXISTS (SELECT Name FROM Contact WHERE Name = 'Ali Gondal');INSERT INTO Contact (Name, Email, Phone) SELECT 'Priyanka Shori','Priyanka.Shori@bentley.com','919999915498' WHERE NOT EXISTS (SELECT Name FROM Contact WHERE Name = 'Priyanka Shori');</v>
      </c>
      <c r="T11" t="str">
        <f>contactsSQL('Master Table'!T11)</f>
        <v>INSERT INTO Contact (Name, Email, Phone) SELECT 'Ali Gondal','Ali.Gondal@bentley.com','92512078402' WHERE NOT EXISTS (SELECT Name FROM Contact WHERE Name = 'Ali Gondal');INSERT INTO Contact (Name, Email, Phone) SELECT 'Priyanka Shori','Priyanka.Shori@bentley.com','919999915498' WHERE NOT EXISTS (SELECT Name FROM Contact WHERE Name = 'Priyanka Shori');</v>
      </c>
      <c r="U11" t="str">
        <f>contactsSQL('Master Table'!U11)</f>
        <v>INSERT INTO Contact (Name, Email, Phone) SELECT 'Ali Gondal','Ali.Gondal@bentley.com','92512078402' WHERE NOT EXISTS (SELECT Name FROM Contact WHERE Name = 'Ali Gondal');INSERT INTO Contact (Name, Email, Phone) SELECT 'Priyanka Shori','Priyanka.Shori@bentley.com','919999915498' WHERE NOT EXISTS (SELECT Name FROM Contact WHERE Name = 'Priyanka Shori');</v>
      </c>
      <c r="V11" t="str">
        <f>contactsSQL('Master Table'!V11)</f>
        <v>INSERT INTO Contact (Name, Email, Phone) SELECT 'Ali Gondal','Ali.Gondal@bentley.com','92512078402' WHERE NOT EXISTS (SELECT Name FROM Contact WHERE Name = 'Ali Gondal');INSERT INTO Contact (Name, Email, Phone) SELECT 'Priyanka Shori','Priyanka.Shori@bentley.com','919999915498' WHERE NOT EXISTS (SELECT Name FROM Contact WHERE Name = 'Priyanka Shori');</v>
      </c>
      <c r="W11" t="str">
        <f>contactsSQL('Master Table'!W11)</f>
        <v>INSERT INTO Contact (Name, Email, Phone) SELECT 'Ali Gondal','Ali.Gondal@bentley.com','92512078402' WHERE NOT EXISTS (SELECT Name FROM Contact WHERE Name = 'Ali Gondal');INSERT INTO Contact (Name, Email, Phone) SELECT 'Priyanka Shori','Priyanka.Shori@bentley.com','919999915498' WHERE NOT EXISTS (SELECT Name FROM Contact WHERE Name = 'Priyanka Shori');</v>
      </c>
      <c r="X11" t="str">
        <f>contactsSQL('Master Table'!X11)</f>
        <v>INSERT INTO Contact (Name, Email, Phone) SELECT 'Hrayr Daghlian','Hrayr.Daghlian@bentley.com','97143826014' WHERE NOT EXISTS (SELECT Name FROM Contact WHERE Name = 'Hrayr Daghlian');</v>
      </c>
      <c r="Y11" t="str">
        <f>contactsSQL('Master Table'!Y11)</f>
        <v>INSERT INTO Contact (Name, Email, Phone) SELECT 'Hrayr Daghlian','Hrayr.Daghlian@bentley.com','97143826014' WHERE NOT EXISTS (SELECT Name FROM Contact WHERE Name = 'Hrayr Daghlian');</v>
      </c>
      <c r="Z11" t="str">
        <f>contactsSQL('Master Table'!Z11)</f>
        <v>INSERT INTO Contact (Name, Email, Phone) SELECT 'Hrayr Daghlian','Hrayr.Daghlian@bentley.com','97143826014' WHERE NOT EXISTS (SELECT Name FROM Contact WHERE Name = 'Hrayr Daghlian');</v>
      </c>
      <c r="AA11" t="str">
        <f>contactsSQL('Master Table'!AA11)</f>
        <v>INSERT INTO Contact (Name, Email, Phone) SELECT 'Hrayr Daghlian','Hrayr.Daghlian@bentley.com','97143826014' WHERE NOT EXISTS (SELECT Name FROM Contact WHERE Name = 'Hrayr Daghlian');</v>
      </c>
      <c r="AB11" t="str">
        <f>contactsSQL('Master Table'!AB11)</f>
        <v>INSERT INTO Contact (Name, Email, Phone) SELECT 'Hrayr Daghlian','Hrayr.Daghlian@bentley.com','97143826014' WHERE NOT EXISTS (SELECT Name FROM Contact WHERE Name = 'Hrayr Daghlian');</v>
      </c>
      <c r="AC11" t="str">
        <f>contactsSQL('Master Table'!AC11)</f>
        <v>INSERT INTO Contact (Name, Email, Phone) SELECT 'Hrayr Daghlian','Hrayr.Daghlian@bentley.com','97143826014' WHERE NOT EXISTS (SELECT Name FROM Contact WHERE Name = 'Hrayr Daghlian');</v>
      </c>
      <c r="AD11" t="str">
        <f>contactsSQL('Master Table'!AD11)</f>
        <v>INSERT INTO Contact (Name, Email, Phone) SELECT 'Jagadeesh Thiyagarajan','Jagadeesh.Thiyagarajan@bentley.com','914449056607' WHERE NOT EXISTS (SELECT Name FROM Contact WHERE Name = 'Jagadeesh Thiyagarajan');INSERT INTO Contact (Name, Email, Phone) SELECT 'Priyanka Shori','Priyanka.Shori@bentley.com','919999915498' WHERE NOT EXISTS (SELECT Name FROM Contact WHERE Name = 'Priyanka Shori');INSERT INTO Contact (Name, Email, Phone) SELECT 'Ali Gondal','Ali.Gondal@bentley.com','92512078402' WHERE NOT EXISTS (SELECT Name FROM Contact WHERE Name = 'Ali Gondal');</v>
      </c>
      <c r="AE11" t="str">
        <f>contactsSQL('Master Table'!AE11)</f>
        <v>INSERT INTO Contact (Name, Email, Phone) SELECT 'Jagadeesh Thiyagarajan','Jagadeesh.Thiyagarajan@bentley.com','914449056607' WHERE NOT EXISTS (SELECT Name FROM Contact WHERE Name = 'Jagadeesh Thiyagarajan');INSERT INTO Contact (Name, Email, Phone) SELECT 'Priyanka Shori','Priyanka.Shori@bentley.com','919999915498' WHERE NOT EXISTS (SELECT Name FROM Contact WHERE Name = 'Priyanka Shori');INSERT INTO Contact (Name, Email, Phone) SELECT 'Ali Gondal','Ali.Gondal@bentley.com','92512078402' WHERE NOT EXISTS (SELECT Name FROM Contact WHERE Name = 'Ali Gondal');</v>
      </c>
      <c r="AF11" t="str">
        <f>contactsSQL('Master Table'!AF11)</f>
        <v>INSERT INTO Contact (Name, Email, Phone) SELECT 'Jagadeesh Thiyagarajan','Jagadeesh.Thiyagarajan@bentley.com','914449056607' WHERE NOT EXISTS (SELECT Name FROM Contact WHERE Name = 'Jagadeesh Thiyagarajan');INSERT INTO Contact (Name, Email, Phone) SELECT 'Priyanka Shori','Priyanka.Shori@bentley.com','919999915498' WHERE NOT EXISTS (SELECT Name FROM Contact WHERE Name = 'Priyanka Shori');INSERT INTO Contact (Name, Email, Phone) SELECT 'Ali Gondal','Ali.Gondal@bentley.com','92512078402' WHERE NOT EXISTS (SELECT Name FROM Contact WHERE Name = 'Ali Gondal');</v>
      </c>
      <c r="AG11" t="str">
        <f>contactsSQL('Master Table'!AG11)</f>
        <v>INSERT INTO Contact (Name, Email, Phone) SELECT 'Jagadeesh Thiyagarajan','Jagadeesh.Thiyagarajan@bentley.com','914449056607' WHERE NOT EXISTS (SELECT Name FROM Contact WHERE Name = 'Jagadeesh Thiyagarajan');INSERT INTO Contact (Name, Email, Phone) SELECT 'Priyanka Shori','Priyanka.Shori@bentley.com','919999915498' WHERE NOT EXISTS (SELECT Name FROM Contact WHERE Name = 'Priyanka Shori');INSERT INTO Contact (Name, Email, Phone) SELECT 'Ali Gondal','Ali.Gondal@bentley.com','92512078402' WHERE NOT EXISTS (SELECT Name FROM Contact WHERE Name = 'Ali Gondal');</v>
      </c>
      <c r="AH11" t="str">
        <f>contactsSQL('Master Table'!AH11)</f>
        <v>INSERT INTO Contact (Name, Email, Phone) SELECT 'Ali Gondal','Ali.Gondal@bentley.com','92512078402' WHERE NOT EXISTS (SELECT Name FROM Contact WHERE Name = 'Ali Gondal');INSERT INTO Contact (Name, Email, Phone) SELECT 'Jagadeesh Thiyagarajan','Jagadeesh.Thiyagarajan@bentley.com','914449056607' WHERE NOT EXISTS (SELECT Name FROM Contact WHERE Name = 'Jagadeesh Thiyagarajan');</v>
      </c>
      <c r="AI11" t="str">
        <f>contactsSQL('Master Table'!AI11)</f>
        <v>INSERT INTO Contact (Name, Email, Phone) SELECT 'Ali Gondal','Ali.Gondal@bentley.com','92512078402' WHERE NOT EXISTS (SELECT Name FROM Contact WHERE Name = 'Ali Gondal');INSERT INTO Contact (Name, Email, Phone) SELECT 'Jagadeesh Thiyagarajan','Jagadeesh.Thiyagarajan@bentley.com','914449056607' WHERE NOT EXISTS (SELECT Name FROM Contact WHERE Name = 'Jagadeesh Thiyagarajan');</v>
      </c>
      <c r="AJ11" t="str">
        <f>contactsSQL('Master Table'!AJ11)</f>
        <v>INSERT INTO Contact (Name, Email, Phone) SELECT 'Freek Verhoef','Freek.Verhoef@bentley.com','27794964032' WHERE NOT EXISTS (SELECT Name FROM Contact WHERE Name = 'Freek Verhoef');</v>
      </c>
      <c r="AK11" t="str">
        <f>contactsSQL('Master Table'!AK11)</f>
        <v>INSERT INTO Contact (Name, Email, Phone) SELECT 'Uma Umakhanthan','Uma.Umakhanthan@bentley.com','61396978604' WHERE NOT EXISTS (SELECT Name FROM Contact WHERE Name = 'Uma Umakhanthan');</v>
      </c>
      <c r="AL11" t="str">
        <f>contactsSQL('Master Table'!AL11)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M11" t="str">
        <f>contactsSQL('Master Table'!AM11)</f>
        <v>INSERT INTO Contact (Name, Email, Phone) SELECT 'Gaurav Malik','Gaurav.Malik@bentley.com','911149021128' WHERE NOT EXISTS (SELECT Name FROM Contact WHERE Name = 'Gaurav Malik');INSERT INTO Contact (Name, Email, Phone) SELECT 'Suneet Manjavkar','Suneet.Manjavkar@bentley.com','911149021148' WHERE NOT EXISTS (SELECT Name FROM Contact WHERE Name = 'Suneet Manjavkar');</v>
      </c>
      <c r="AN11" t="str">
        <f>contactsSQL('Master Table'!AN11)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O11" t="str">
        <f>contactsSQL('Master Table'!AO11)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11" t="str">
        <f>contactsSQL('Master Table'!AP11)</f>
        <v>INSERT INTO Contact (Name, Email, Phone) SELECT 'Gaurav Malik','Gaurav.Malik@bentley.com','911149021128' WHERE NOT EXISTS (SELECT Name FROM Contact WHERE Name = 'Gaurav Malik');INSERT INTO Contact (Name, Email, Phone) SELECT 'Suneet Manjavkar','Suneet.Manjavkar@bentley.com','911149021148' WHERE NOT EXISTS (SELECT Name FROM Contact WHERE Name = 'Suneet Manjavkar');</v>
      </c>
      <c r="AQ11" t="str">
        <f>contactsSQL('Master Table'!AQ11)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11" t="str">
        <f>contactsSQL('Master Table'!AR11)</f>
        <v>INSERT INTO Contact (Name, Email, Phone) SELECT 'Dan Vogen','Dan.Vogen@bentley.com','16309816500' WHERE NOT EXISTS (SELECT Name FROM Contact WHERE Name = 'Dan Vogen');</v>
      </c>
      <c r="AS11" t="str">
        <f>contactsSQL('Master Table'!AS11)</f>
        <v>INSERT INTO Contact (Name, Email, Phone) SELECT 'Uma Umakhanthan','Uma.Umakhanthan@bentley.com','61396978604' WHERE NOT EXISTS (SELECT Name FROM Contact WHERE Name = 'Uma Umakhanthan');</v>
      </c>
      <c r="AT11" t="str">
        <f>contactsSQL('Master Table'!AT11)</f>
        <v>INSERT INTO Contact (Name, Email, Phone) SELECT 'Ben Witter','Ben.Witter@bentley.com','12676642491' WHERE NOT EXISTS (SELECT Name FROM Contact WHERE Name = 'Ben Witter');</v>
      </c>
      <c r="AU11" t="str">
        <f>contactsSQL('Master Table'!AU11)</f>
        <v>INSERT INTO Contact (Name, Email, Phone) SELECT 'Eric Crivella','Eric.Crivella@bentley.com','18322172802' WHERE NOT EXISTS (SELECT Name FROM Contact WHERE Name = 'Eric Crivella');</v>
      </c>
      <c r="AV11" t="str">
        <f>contactsSQL('Master Table'!AV11)</f>
        <v>INSERT INTO Contact (Name, Email, Phone) SELECT 'Paul King','Paul.King@bentley.com','61288778810' WHERE NOT EXISTS (SELECT Name FROM Contact WHERE Name = 'Paul King');</v>
      </c>
      <c r="AW11" t="str">
        <f>contactsSQL('Master Table'!AW11)</f>
        <v>INSERT INTO Contact (Name, Email, Phone) SELECT 'Paul King','Paul.King@bentley.com','61288778810' WHERE NOT EXISTS (SELECT Name FROM Contact WHERE Name = 'Paul King');</v>
      </c>
      <c r="AX11" t="str">
        <f>contactsSQL('Master Table'!AX11)</f>
        <v>INSERT INTO Contact (Name, Email, Phone) SELECT 'Paul King','Paul.King@bentley.com','61288778810' WHERE NOT EXISTS (SELECT Name FROM Contact WHERE Name = 'Paul King');</v>
      </c>
      <c r="AY11" t="str">
        <f>contactsSQL('Master Table'!AY11)</f>
        <v>INSERT INTO Contact (Name, Email, Phone) SELECT 'Paul King','Paul.King@bentley.com','61288778810' WHERE NOT EXISTS (SELECT Name FROM Contact WHERE Name = 'Paul King');</v>
      </c>
      <c r="AZ11" t="str">
        <f>contactsSQL('Master Table'!AZ11)</f>
        <v>INSERT INTO Contact (Name, Email, Phone) SELECT 'Paul King','Paul.King@bentley.com','61288778810' WHERE NOT EXISTS (SELECT Name FROM Contact WHERE Name = 'Paul King');</v>
      </c>
      <c r="BA11" t="str">
        <f>contactsSQL('Master Table'!BA11)</f>
        <v>INSERT INTO Contact (Name, Email, Phone) SELECT 'Paul King','Paul.King@bentley.com','61288778810' WHERE NOT EXISTS (SELECT Name FROM Contact WHERE Name = 'Paul King');</v>
      </c>
      <c r="BB11" t="str">
        <f>contactsSQL('Master Table'!BB11)</f>
        <v>INSERT INTO Contact (Name, Email, Phone) SELECT 'Paul King','Paul.King@bentley.com','61288778810' WHERE NOT EXISTS (SELECT Name FROM Contact WHERE Name = 'Paul King');</v>
      </c>
      <c r="BC11" t="str">
        <f>contactsSQL('Master Table'!BC11)</f>
        <v>INSERT INTO Contact (Name, Email, Phone) SELECT 'Paul King','Paul.King@bentley.com','61288778810' WHERE NOT EXISTS (SELECT Name FROM Contact WHERE Name = 'Paul King');</v>
      </c>
      <c r="BD11" t="str">
        <f>contactsSQL('Master Table'!BD11)</f>
        <v>INSERT INTO Contact (Name, Email, Phone) SELECT 'Steven Chau','steven.chau@bentley.com','' WHERE NOT EXISTS (SELECT Name FROM Contact WHERE Name = 'Steven Chau');</v>
      </c>
      <c r="BE11" t="str">
        <f>contactsSQL('Master Table'!BE11)</f>
        <v>INSERT INTO Contact (Name, Email, Phone) SELECT 'Eric Crivella','Eric.Crivella@bentley.com','18322172802' WHERE NOT EXISTS (SELECT Name FROM Contact WHERE Name = 'Eric Crivella');</v>
      </c>
      <c r="BF11" t="str">
        <f>contactsSQL('Master Table'!BF11)</f>
        <v>INSERT INTO Contact (Name, Email, Phone) SELECT 'Eric Crivella','Eric.Crivella@bentley.com','18322172802' WHERE NOT EXISTS (SELECT Name FROM Contact WHERE Name = 'Eric Crivella');</v>
      </c>
      <c r="BG11" t="str">
        <f>contactsSQL('Master Table'!BG11)</f>
        <v>INSERT INTO Contact (Name, Email, Phone) SELECT 'Paul King','Paul.King@bentley.com','61288778810' WHERE NOT EXISTS (SELECT Name FROM Contact WHERE Name = 'Paul King');</v>
      </c>
      <c r="BH11" t="str">
        <f>contactsSQL('Master Table'!BH11)</f>
        <v>INSERT INTO Contact (Name, Email, Phone) SELECT 'Paul King','Paul.King@bentley.com','61288778810' WHERE NOT EXISTS (SELECT Name FROM Contact WHERE Name = 'Paul King');</v>
      </c>
      <c r="BI11" t="str">
        <f>contactsSQL('Master Table'!BI11)</f>
        <v>INSERT INTO Contact (Name, Email, Phone) SELECT 'Paul King','Paul.King@bentley.com','61288778810' WHERE NOT EXISTS (SELECT Name FROM Contact WHERE Name = 'Paul King');</v>
      </c>
      <c r="BJ11" t="str">
        <f>contactsSQL('Master Table'!BJ11)</f>
        <v>INSERT INTO Contact (Name, Email, Phone) SELECT 'Paul King','Paul.King@bentley.com','61288778810' WHERE NOT EXISTS (SELECT Name FROM Contact WHERE Name = 'Paul King');</v>
      </c>
      <c r="BK11" t="str">
        <f>contactsSQL('Master Table'!BK11)</f>
        <v>INSERT INTO Contact (Name, Email, Phone) SELECT 'Paul King','Paul.King@bentley.com','61288778810' WHERE NOT EXISTS (SELECT Name FROM Contact WHERE Name = 'Paul King');</v>
      </c>
      <c r="BL11" t="str">
        <f>contactsSQL('Master Table'!BL11)</f>
        <v>INSERT INTO Contact (Name, Email, Phone) SELECT 'Paul King','Paul.King@bentley.com','61288778810' WHERE NOT EXISTS (SELECT Name FROM Contact WHERE Name = 'Paul King');</v>
      </c>
    </row>
    <row r="12" spans="3:64" x14ac:dyDescent="0.25">
      <c r="C12" t="str">
        <f>contactsSQL('Master Table'!C12)</f>
        <v>INSERT INTO Contact (Name, Email, Phone) SELECT 'Carlos Aguera','Carlos.Aguera@bentley.com','442078610973' WHERE NOT EXISTS (SELECT Name FROM Contact WHERE Name = 'Carlos Aguera');</v>
      </c>
      <c r="D12" t="str">
        <f>contactsSQL('Master Table'!D12)</f>
        <v>INSERT INTO Contact (Name, Email, Phone) SELECT 'Allen Adams','Allen.Adams@bentley.com','17604313610' WHERE NOT EXISTS (SELECT Name FROM Contact WHERE Name = 'Allen Adams');</v>
      </c>
      <c r="E12" t="str">
        <f>contactsSQL('Master Table'!E12)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12" t="str">
        <f>contactsSQL('Master Table'!F12)</f>
        <v>INSERT INTO Contact (Name, Email, Phone) SELECT 'Parvinder Jhita','Parvinder.Jhita@bentley.com','1' WHERE NOT EXISTS (SELECT Name FROM Contact WHERE Name = 'Parvinder Jhita');</v>
      </c>
      <c r="G12" t="str">
        <f>contactsSQL('Master Table'!G12)</f>
        <v>INSERT INTO Contact (Name, Email, Phone) SELECT 'Pat Couser','Pat.Couser@bentley.com','' WHERE NOT EXISTS (SELECT Name FROM Contact WHERE Name = 'Pat Couser');</v>
      </c>
      <c r="H12" t="str">
        <f>contactsSQL('Master Table'!H12)</f>
        <v>INSERT INTO Contact (Name, Email, Phone) SELECT 'Georgina Maldonado','Georgina.Maldonado@bentley.com','17133608369' WHERE NOT EXISTS (SELECT Name FROM Contact WHERE Name = 'Georgina Maldonado');</v>
      </c>
      <c r="I12" t="str">
        <f>contactsSQL('Master Table'!I12)</f>
        <v>INSERT INTO Contact (Name, Email, Phone) SELECT 'Gregor Strekelj','Gregor.Strekelj@bentley.com','4331682153165' WHERE NOT EXISTS (SELECT Name FROM Contact WHERE Name = 'Gregor Strekelj');</v>
      </c>
      <c r="J12" t="str">
        <f>contactsSQL('Master Table'!J12)</f>
        <v>INSERT INTO Contact (Name, Email, Phone) SELECT 'Xin Luo','Xin.Luo@bentley.com','19543439359' WHERE NOT EXISTS (SELECT Name FROM Contact WHERE Name = 'Xin Luo');</v>
      </c>
      <c r="K12" t="str">
        <f>contactsSQL('Master Table'!K12)</f>
        <v>INSERT INTO Contact (Name, Email, Phone) SELECT 'Sri Kanneganti','Sri.Kanneganti@bentley.com','19543439325' WHERE NOT EXISTS (SELECT Name FROM Contact WHERE Name = 'Sri Kanneganti');</v>
      </c>
      <c r="L12" t="str">
        <f>contactsSQL('Master Table'!L12)</f>
        <v>INSERT INTO Contact (Name, Email, Phone) SELECT 'Bill Beyer','Bill.Beyer@bentley.com','18166667568' WHERE NOT EXISTS (SELECT Name FROM Contact WHERE Name = 'Bill Beyer');</v>
      </c>
      <c r="M12" t="str">
        <f>contactsSQL('Master Table'!M12)</f>
        <v>INSERT INTO Contact (Name, Email, Phone) SELECT 'David Settlemeyer','David.Settlemyer@bentley.com','16103214610' WHERE NOT EXISTS (SELECT Name FROM Contact WHERE Name = 'David Settlemeyer');</v>
      </c>
      <c r="N12" t="str">
        <f>contactsSQL('Master Table'!N12)</f>
        <v>INSERT INTO Contact (Name, Email, Phone) SELECT 'Andy Smith','Andy.Smith@bentley.com','7046630319' WHERE NOT EXISTS (SELECT Name FROM Contact WHERE Name = 'Andy Smith');</v>
      </c>
      <c r="O12" t="str">
        <f>contactsSQL('Master Table'!O12)</f>
        <v>INSERT INTO Contact (Name, Email, Phone) SELECT 'Andy Smith','Andy.Smith@bentley.com','7046630319' WHERE NOT EXISTS (SELECT Name FROM Contact WHERE Name = 'Andy Smith');</v>
      </c>
      <c r="P12" t="str">
        <f>contactsSQL('Master Table'!P12)</f>
        <v>INSERT INTO Contact (Name, Email, Phone) SELECT 'Paul Demetriou','Paul.Demetriou@bentley.com','12088879204' WHERE NOT EXISTS (SELECT Name FROM Contact WHERE Name = 'Paul Demetriou');</v>
      </c>
      <c r="Q12" t="str">
        <f>contactsSQL('Master Table'!Q12)</f>
        <v>INSERT INTO Contact (Name, Email, Phone) SELECT 'Ian Rosam','Ian.Rosam@bentley.com','442078610313' WHERE NOT EXISTS (SELECT Name FROM Contact WHERE Name = 'Ian Rosam');</v>
      </c>
      <c r="R12" t="str">
        <f>contactsSQL('Master Table'!R12)</f>
        <v>INSERT INTO Contact (Name, Email, Phone) SELECT 'Ian Rosam','Ian.Rosam@bentley.com','442078610313' WHERE NOT EXISTS (SELECT Name FROM Contact WHERE Name = 'Ian Rosam');</v>
      </c>
      <c r="S12" t="str">
        <f>contactsSQL('Master Table'!S12)</f>
        <v>INSERT INTO Contact (Name, Email, Phone) SELECT 'Ian Rosam','Ian.Rosam@bentley.com','442078610313' WHERE NOT EXISTS (SELECT Name FROM Contact WHERE Name = 'Ian Rosam');</v>
      </c>
      <c r="T12" t="str">
        <f>contactsSQL('Master Table'!T12)</f>
        <v>INSERT INTO Contact (Name, Email, Phone) SELECT 'Kivanc Karakas','Kivanc.Karakas@bentley.com','442078610339' WHERE NOT EXISTS (SELECT Name FROM Contact WHERE Name = 'Kivanc Karakas');</v>
      </c>
      <c r="U12" t="str">
        <f>contactsSQL('Master Table'!U12)</f>
        <v>INSERT INTO Contact (Name, Email, Phone) SELECT 'Ian Rosam','Ian.Rosam@bentley.com','442078610313' WHERE NOT EXISTS (SELECT Name FROM Contact WHERE Name = 'Ian Rosam');</v>
      </c>
      <c r="V12" t="str">
        <f>contactsSQL('Master Table'!V12)</f>
        <v>INSERT INTO Contact (Name, Email, Phone) SELECT 'Francois Valois','Francois.Valois@bentley.com','15817817522' WHERE NOT EXISTS (SELECT Name FROM Contact WHERE Name = 'Francois Valois');</v>
      </c>
      <c r="W12" t="str">
        <f>contactsSQL('Master Table'!W12)</f>
        <v>INSERT INTO Contact (Name, Email, Phone) SELECT 'Nicolas Loubier','Nicolas.Loubier@bentley.com','15817817567' WHERE NOT EXISTS (SELECT Name FROM Contact WHERE Name = 'Nicolas Loubier');</v>
      </c>
      <c r="X12" t="str">
        <f>contactsSQL('Master Table'!X12)</f>
        <v>INSERT INTO Contact (Name, Email, Phone) SELECT 'Adnan Ulhaq','Adnan.Ulhaq@bentley.com','92512078422' WHERE NOT EXISTS (SELECT Name FROM Contact WHERE Name = 'Adnan Ulhaq');</v>
      </c>
      <c r="Y12" t="str">
        <f>contactsSQL('Master Table'!Y12)</f>
        <v>INSERT INTO Contact (Name, Email, Phone) SELECT 'Tim Lawrence','Tim.Lawrence@bentley.com','15873158588' WHERE NOT EXISTS (SELECT Name FROM Contact WHERE Name = 'Tim Lawrence');</v>
      </c>
      <c r="Z12" t="str">
        <f>contactsSQL('Master Table'!Z12)</f>
        <v>INSERT INTO Contact (Name, Email, Phone) SELECT 'Abbas Ali','','16104583160' WHERE NOT EXISTS (SELECT Name FROM Contact WHERE Name = 'Abbas Ali');</v>
      </c>
      <c r="AA12" t="str">
        <f>contactsSQL('Master Table'!AA12)</f>
        <v>INSERT INTO Contact (Name, Email, Phone) SELECT 'Rob Harper','Rob.Harper@bentley.com','17137303385' WHERE NOT EXISTS (SELECT Name FROM Contact WHERE Name = 'Rob Harper');</v>
      </c>
      <c r="AB12" t="str">
        <f>contactsSQL('Master Table'!AB12)</f>
        <v>INSERT INTO Contact (Name, Email, Phone) SELECT 'Alain Beland','Alain.Beland@bentley.com','14188802022' WHERE NOT EXISTS (SELECT Name FROM Contact WHERE Name = 'Alain Beland');</v>
      </c>
      <c r="AC12" t="str">
        <f>contactsSQL('Master Table'!AC12)</f>
        <v>INSERT INTO Contact (Name, Email, Phone) SELECT 'Tim Lawrence','Tim.Lawrence@bentley.com','15873158588' WHERE NOT EXISTS (SELECT Name FROM Contact WHERE Name = 'Tim Lawrence');</v>
      </c>
      <c r="AD12" t="str">
        <f>contactsSQL('Master Table'!AD12)</f>
        <v>INSERT INTO Contact (Name, Email, Phone) SELECT 'Benoit Frederique','Benoit.Fredericque@bentley.com','' WHERE NOT EXISTS (SELECT Name FROM Contact WHERE Name = 'Benoit Frederique');</v>
      </c>
      <c r="AE12" t="str">
        <f>contactsSQL('Master Table'!AE12)</f>
        <v>INSERT INTO Contact (Name, Email, Phone) SELECT 'Benoit Frederique','Benoit.Fredericque@bentley.com','' WHERE NOT EXISTS (SELECT Name FROM Contact WHERE Name = 'Benoit Frederique');</v>
      </c>
      <c r="AF12" t="str">
        <f>contactsSQL('Master Table'!AF12)</f>
        <v>INSERT INTO Contact (Name, Email, Phone) SELECT 'Benoit Frederique','Benoit.Fredericque@bentley.com','' WHERE NOT EXISTS (SELECT Name FROM Contact WHERE Name = 'Benoit Frederique');</v>
      </c>
      <c r="AG12" t="str">
        <f>contactsSQL('Master Table'!AG12)</f>
        <v>INSERT INTO Contact (Name, Email, Phone) SELECT 'Benoit Frederique','Benoit.Fredericque@bentley.com','' WHERE NOT EXISTS (SELECT Name FROM Contact WHERE Name = 'Benoit Frederique');</v>
      </c>
      <c r="AH12" t="str">
        <f>contactsSQL('Master Table'!AH12)</f>
        <v>INSERT INTO Contact (Name, Email, Phone) SELECT 'Jim Barr','Jim.Barr@bentley.com','12567241520' WHERE NOT EXISTS (SELECT Name FROM Contact WHERE Name = 'Jim Barr');</v>
      </c>
      <c r="AI12" t="str">
        <f>contactsSQL('Master Table'!AI12)</f>
        <v>INSERT INTO Contact (Name, Email, Phone) SELECT 'Slavica Bozic','Slavica.Bozic@bentley.com','16302338281' WHERE NOT EXISTS (SELECT Name FROM Contact WHERE Name = 'Slavica Bozic');</v>
      </c>
      <c r="AJ12" t="str">
        <f>contactsSQL('Master Table'!AJ12)</f>
        <v>INSERT INTO Contact (Name, Email, Phone) SELECT 'Jim Newman','Jim.Newman@bentley.com','17044332566' WHERE NOT EXISTS (SELECT Name FROM Contact WHERE Name = 'Jim Newman');</v>
      </c>
      <c r="AK12" t="str">
        <f>contactsSQL('Master Table'!AK12)</f>
        <v>INSERT INTO Contact (Name, Email, Phone) SELECT 'Aaron Beazley','Aaron.Beazley@bentley.com','12898162642' WHERE NOT EXISTS (SELECT Name FROM Contact WHERE Name = 'Aaron Beazley');</v>
      </c>
      <c r="AL12" t="str">
        <f>contactsSQL('Master Table'!AL12)</f>
        <v>INSERT INTO Contact (Name, Email, Phone) SELECT 'Gijsbert Noordam','Gijsbert.Noordam@bentley.com','31235560626' WHERE NOT EXISTS (SELECT Name FROM Contact WHERE Name = 'Gijsbert Noordam');</v>
      </c>
      <c r="AM12" t="str">
        <f>contactsSQL('Master Table'!AM12)</f>
        <v>INSERT INTO Contact (Name, Email, Phone) SELECT 'Gregg Herrin','Gregg.Herrin@bentley.com','16104583188' WHERE NOT EXISTS (SELECT Name FROM Contact WHERE Name = 'Gregg Herrin');</v>
      </c>
      <c r="AN12" t="str">
        <f>contactsSQL('Master Table'!AN12)</f>
        <v>INSERT INTO Contact (Name, Email, Phone) SELECT 'Gijsbert Noordam','Gijsbert.Noordam@bentley.com','31235560626' WHERE NOT EXISTS (SELECT Name FROM Contact WHERE Name = 'Gijsbert Noordam');</v>
      </c>
      <c r="AO12" t="str">
        <f>contactsSQL('Master Table'!AO12)</f>
        <v>INSERT INTO Contact (Name, Email, Phone) SELECT 'Russell Page','Russell.Page@bentley.com','13032210689' WHERE NOT EXISTS (SELECT Name FROM Contact WHERE Name = 'Russell Page');</v>
      </c>
      <c r="AP12" t="str">
        <f>contactsSQL('Master Table'!AP12)</f>
        <v>INSERT INTO Contact (Name, Email, Phone) SELECT 'Mal Sharkey','Mal.Sharkey@bentley.com','61396978623' WHERE NOT EXISTS (SELECT Name FROM Contact WHERE Name = 'Mal Sharkey');</v>
      </c>
      <c r="AQ12" t="str">
        <f>contactsSQL('Master Table'!AQ12)</f>
        <v>INSERT INTO Contact (Name, Email, Phone) SELECT 'Aaron Beazily','Aaron.Beazley@bentley.com','12898162642' WHERE NOT EXISTS (SELECT Name FROM Contact WHERE Name = 'Aaron Beazily');</v>
      </c>
      <c r="AR12" t="str">
        <f>contactsSQL('Master Table'!AR12)</f>
        <v>INSERT INTO Contact (Name, Email, Phone) SELECT 'Jim Scott','Jim.Scott@bentley.com','13039670864' WHERE NOT EXISTS (SELECT Name FROM Contact WHERE Name = 'Jim Scott');</v>
      </c>
      <c r="AS12" t="str">
        <f>contactsSQL('Master Table'!AS12)</f>
        <v>INSERT INTO Contact (Name, Email, Phone) SELECT 'Duncan Rodger','Duncan.Rodger@bentley.com','441349865554' WHERE NOT EXISTS (SELECT Name FROM Contact WHERE Name = 'Duncan Rodger');</v>
      </c>
      <c r="AT12" t="str">
        <f>contactsSQL('Master Table'!AT12)</f>
        <v>INSERT INTO Contact (Name, Email, Phone) SELECT 'Taylor Gilmore','Taylor.Gilmore@bentley.com','14126811521' WHERE NOT EXISTS (SELECT Name FROM Contact WHERE Name = 'Taylor Gilmore');</v>
      </c>
      <c r="AU12" t="str">
        <f>contactsSQL('Master Table'!AU12)</f>
        <v>INSERT INTO Contact (Name, Email, Phone) SELECT 'Paolomee Udani','Paolomee.Udani@bentley.com','19252745107' WHERE NOT EXISTS (SELECT Name FROM Contact WHERE Name = 'Paolomee Udani');</v>
      </c>
      <c r="AV12" t="str">
        <f>contactsSQL('Master Table'!AV12)</f>
        <v>INSERT INTO Contact (Name, Email, Phone) SELECT 'Bill McNamara','Bill.McNamara@bentley.com','16104587602' WHERE NOT EXISTS (SELECT Name FROM Contact WHERE Name = 'Bill McNamara');</v>
      </c>
      <c r="AW12" t="str">
        <f>contactsSQL('Master Table'!AW12)</f>
        <v>INSERT INTO Contact (Name, Email, Phone) SELECT 'Bill McNamara','Bill.McNamara@bentley.com','16104587602' WHERE NOT EXISTS (SELECT Name FROM Contact WHERE Name = 'Bill McNamara');</v>
      </c>
      <c r="AX12" t="str">
        <f>contactsSQL('Master Table'!AX12)</f>
        <v>INSERT INTO Contact (Name, Email, Phone) SELECT 'Bill McNamara','Bill.McNamara@bentley.com','16104587602' WHERE NOT EXISTS (SELECT Name FROM Contact WHERE Name = 'Bill McNamara');</v>
      </c>
      <c r="AY12" t="str">
        <f>contactsSQL('Master Table'!AY12)</f>
        <v>INSERT INTO Contact (Name, Email, Phone) SELECT 'Bill McNamara','Bill.McNamara@bentley.com','16104587602' WHERE NOT EXISTS (SELECT Name FROM Contact WHERE Name = 'Bill McNamara');</v>
      </c>
      <c r="AZ12" t="str">
        <f>contactsSQL('Master Table'!AZ12)</f>
        <v>INSERT INTO Contact (Name, Email, Phone) SELECT 'Bill McNamara','Bill.McNamara@bentley.com','16104587602' WHERE NOT EXISTS (SELECT Name FROM Contact WHERE Name = 'Bill McNamara');</v>
      </c>
      <c r="BA12" t="str">
        <f>contactsSQL('Master Table'!BA12)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12" t="str">
        <f>contactsSQL('Master Table'!BB12)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12" t="str">
        <f>contactsSQL('Master Table'!BC12)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12" t="str">
        <f>contactsSQL('Master Table'!BD12)</f>
        <v>INSERT INTO Contact (Name, Email, Phone) SELECT 'Joe Granville','Joe.Granville@bentley.com','16104582951' WHERE NOT EXISTS (SELECT Name FROM Contact WHERE Name = 'Joe Granville');</v>
      </c>
      <c r="BE12" t="str">
        <f>contactsSQL('Master Table'!BE12)</f>
        <v>INSERT INTO Contact (Name, Email, Phone) SELECT 'Beth Buerger','Beth.Buerger@bentley.com','17205283380' WHERE NOT EXISTS (SELECT Name FROM Contact WHERE Name = 'Beth Buerger');</v>
      </c>
      <c r="BF12" t="str">
        <f>contactsSQL('Master Table'!BF12)</f>
        <v>INSERT INTO Contact (Name, Email, Phone) SELECT 'Sam Stuart','Sam.Stuart@bentley.com','' WHERE NOT EXISTS (SELECT Name FROM Contact WHERE Name = 'Sam Stuart');</v>
      </c>
      <c r="BG12" t="str">
        <f>contactsSQL('Master Table'!BG12)</f>
        <v>INSERT INTO Contact (Name, Email, Phone) SELECT 'Rimantas Varanavicius','imantas.Varanavicius@bentley.com','37052398145' WHERE NOT EXISTS (SELECT Name FROM Contact WHERE Name = 'Rimantas Varanavicius');</v>
      </c>
      <c r="BH12" t="str">
        <f>contactsSQL('Master Table'!BH12)</f>
        <v>INSERT INTO Contact (Name, Email, Phone) SELECT 'Jo Wright','Jo.Wright@bentley.com','12569701111' WHERE NOT EXISTS (SELECT Name FROM Contact WHERE Name = 'Jo Wright');</v>
      </c>
      <c r="BI12" t="str">
        <f>contactsSQL('Master Table'!BI12)</f>
        <v>INSERT INTO Contact (Name, Email, Phone) SELECT 'Jo Wright','Jo.Wright@bentley.com','12569701111' WHERE NOT EXISTS (SELECT Name FROM Contact WHERE Name = 'Jo Wright');</v>
      </c>
      <c r="BJ12" t="str">
        <f>contactsSQL('Master Table'!BJ12)</f>
        <v>INSERT INTO Contact (Name, Email, Phone) SELECT 'Jo Wright','Jo.Wright@bentley.com','12569701111' WHERE NOT EXISTS (SELECT Name FROM Contact WHERE Name = 'Jo Wright');</v>
      </c>
      <c r="BK12" t="str">
        <f>contactsSQL('Master Table'!BK12)</f>
        <v>INSERT INTO Contact (Name, Email, Phone) SELECT 'Jo Wright','Jo.Wright@bentley.com','12569701111' WHERE NOT EXISTS (SELECT Name FROM Contact WHERE Name = 'Jo Wright');</v>
      </c>
      <c r="BL12" t="str">
        <f>contactsSQL('Master Table'!BL12)</f>
        <v>INSERT INTO Contact (Name, Email, Phone) SELECT 'Jo Wright','Jo.Wright@bentley.com','12569701111' WHERE NOT EXISTS (SELECT Name FROM Contact WHERE Name = 'Jo Wright');</v>
      </c>
    </row>
    <row r="13" spans="3:64" x14ac:dyDescent="0.25">
      <c r="C13" t="str">
        <f>contactsSQL('Master Table'!C13)</f>
        <v>INSERT INTO Contact (Name, Email, Phone) SELECT 'Dan Choudhury','Dan.Choudhury@bentley.com','913340183139' WHERE NOT EXISTS (SELECT Name FROM Contact WHERE Name = 'Dan Choudhury');</v>
      </c>
      <c r="D13" t="str">
        <f>contactsSQL('Master Table'!D13)</f>
        <v>INSERT INTO Contact (Name, Email, Phone) SELECT 'Dan Choudhury','Dan.Choudhury@bentley.com','913340183139' WHERE NOT EXISTS (SELECT Name FROM Contact WHERE Name = 'Dan Choudhury');</v>
      </c>
      <c r="E13" t="str">
        <f>contactsSQL('Master Table'!E13)</f>
        <v>INSERT INTO Contact (Name, Email, Phone) SELECT 'Sunil Das','Sunil.Das@bentley.com','913340183105' WHERE NOT EXISTS (SELECT Name FROM Contact WHERE Name = 'Sunil Das');</v>
      </c>
      <c r="F13" t="str">
        <f>contactsSQL('Master Table'!F13)</f>
        <v>INSERT INTO Contact (Name, Email, Phone) SELECT 'Aby Paul','Aby.Paul@bentley.com','97143826005' WHERE NOT EXISTS (SELECT Name FROM Contact WHERE Name = 'Aby Paul');</v>
      </c>
      <c r="G13" t="str">
        <f>contactsSQL('Master Table'!G13)</f>
        <v>INSERT INTO Contact (Name, Email, Phone) SELECT 'Ian Sevilla','Ian.Sevilla@bentley.com','61894311511' WHERE NOT EXISTS (SELECT Name FROM Contact WHERE Name = 'Ian Sevilla');</v>
      </c>
      <c r="H13" t="str">
        <f>contactsSQL('Master Table'!H13)</f>
        <v>INSERT INTO Contact (Name, Email, Phone) SELECT 'Rupesh Kumar','Rupesh.Kumar@bentley.com','160379403439' WHERE NOT EXISTS (SELECT Name FROM Contact WHERE Name = 'Rupesh Kumar');</v>
      </c>
      <c r="I13" t="str">
        <f>contactsSQL('Master Table'!I13)</f>
        <v>INSERT INTO Contact (Name, Email, Phone) SELECT 'Ignacio Almagro','Ignacio.Almagro@bentley.com','19543439336' WHERE NOT EXISTS (SELECT Name FROM Contact WHERE Name = 'Ignacio Almagro');</v>
      </c>
      <c r="J13" t="str">
        <f>contactsSQL('Master Table'!J13)</f>
        <v>INSERT INTO Contact (Name, Email, Phone) SELECT 'Vinay Mysore','Vinay.Mysore@bentley.com','912066021077' WHERE NOT EXISTS (SELECT Name FROM Contact WHERE Name = 'Vinay Mysore');</v>
      </c>
      <c r="K13" t="str">
        <f>contactsSQL('Master Table'!K13)</f>
        <v>INSERT INTO Contact (Name, Email, Phone) SELECT 'Ignacio Almagro','Ignacio.Almagro@bentley.com','19543439336' WHERE NOT EXISTS (SELECT Name FROM Contact WHERE Name = 'Ignacio Almagro');</v>
      </c>
      <c r="L13" t="str">
        <f>contactsSQL('Master Table'!L13)</f>
        <v>INSERT INTO Contact (Name, Email, Phone) SELECT 'Ignacio Almagro','Ignacio.Almagro@bentley.com','19543439336' WHERE NOT EXISTS (SELECT Name FROM Contact WHERE Name = 'Ignacio Almagro');</v>
      </c>
      <c r="M13" t="str">
        <f>contactsSQL('Master Table'!M13)</f>
        <v>INSERT INTO Contact (Name, Email, Phone) SELECT 'Chris Croucher','Chris.Croucher@bentley.com','16103214606' WHERE NOT EXISTS (SELECT Name FROM Contact WHERE Name = 'Chris Croucher');</v>
      </c>
      <c r="N13" t="str">
        <f>contactsSQL('Master Table'!N13)</f>
        <v>INSERT INTO Contact (Name, Email, Phone) SELECT 'Sanjiv Kapila','Sanjiv.Kapila@bentley.com','' WHERE NOT EXISTS (SELECT Name FROM Contact WHERE Name = 'Sanjiv Kapila');</v>
      </c>
      <c r="O13" t="str">
        <f>contactsSQL('Master Table'!O13)</f>
        <v>INSERT INTO Contact (Name, Email, Phone) SELECT 'Steve Brown','Steve.Brown@bentley.com','44' WHERE NOT EXISTS (SELECT Name FROM Contact WHERE Name = 'Steve Brown');</v>
      </c>
      <c r="P13" t="str">
        <f>contactsSQL('Master Table'!P13)</f>
        <v>INSERT INTO Contact (Name, Email, Phone) SELECT 'Steve Brown','Steve.Brown@bentley.com','44' WHERE NOT EXISTS (SELECT Name FROM Contact WHERE Name = 'Steve Brown');</v>
      </c>
      <c r="Q13" t="str">
        <f>contactsSQL('Master Table'!Q13)</f>
        <v>INSERT INTO Contact (Name, Email, Phone) SELECT 'Ganesh Deshmukh','Ganesh.Deshmukh@bentley.com','912066021245' WHERE NOT EXISTS (SELECT Name FROM Contact WHERE Name = 'Ganesh Deshmukh');</v>
      </c>
      <c r="R13" t="str">
        <f>contactsSQL('Master Table'!R13)</f>
        <v>INSERT INTO Contact (Name, Email, Phone) SELECT 'Ganesh Deshmukh','Ganesh.Deshmukh@bentley.com','912066021245' WHERE NOT EXISTS (SELECT Name FROM Contact WHERE Name = 'Ganesh Deshmukh');</v>
      </c>
      <c r="S13" t="str">
        <f>contactsSQL('Master Table'!S13)</f>
        <v>INSERT INTO Contact (Name, Email, Phone) SELECT 'Ganesh Deshmukh','Ganesh.Deshmukh@bentley.com','912066021245' WHERE NOT EXISTS (SELECT Name FROM Contact WHERE Name = 'Ganesh Deshmukh');</v>
      </c>
      <c r="T13" t="str">
        <f>contactsSQL('Master Table'!T13)</f>
        <v>INSERT INTO Contact (Name, Email, Phone) SELECT 'Anupama Tuteja','Anupama.Tuteja@bentley.com','91' WHERE NOT EXISTS (SELECT Name FROM Contact WHERE Name = 'Anupama Tuteja');</v>
      </c>
      <c r="U13" t="str">
        <f>contactsSQL('Master Table'!U13)</f>
        <v>INSERT INTO Contact (Name, Email, Phone) SELECT 'Ganesh Deshmukh','Ganesh.Deshmukh@bentley.com','912066021245' WHERE NOT EXISTS (SELECT Name FROM Contact WHERE Name = 'Ganesh Deshmukh');</v>
      </c>
      <c r="V13" t="str">
        <f>contactsSQL('Master Table'!V13)</f>
        <v/>
      </c>
      <c r="W13" t="str">
        <f>contactsSQL('Master Table'!W13)</f>
        <v>INSERT INTO Contact (Name, Email, Phone) SELECT 'Anupama Tuteja','Anupama.Tuteja@bentley.com','911149021118' WHERE NOT EXISTS (SELECT Name FROM Contact WHERE Name = 'Anupama Tuteja');</v>
      </c>
      <c r="X13" t="str">
        <f>contactsSQL('Master Table'!X13)</f>
        <v>INSERT INTO Contact (Name, Email, Phone) SELECT 'Sujeet Srivastava','Sujeet.Srivastava@bentley.com','912066021012' WHERE NOT EXISTS (SELECT Name FROM Contact WHERE Name = 'Sujeet Srivastava');</v>
      </c>
      <c r="Y13" t="str">
        <f>contactsSQL('Master Table'!Y13)</f>
        <v>INSERT INTO Contact (Name, Email, Phone) SELECT 'Tim Lawrence','Tim.Lawrence@bentley.com','15873158588' WHERE NOT EXISTS (SELECT Name FROM Contact WHERE Name = 'Tim Lawrence');</v>
      </c>
      <c r="Z13" t="str">
        <f>contactsSQL('Master Table'!Z13)</f>
        <v>INSERT INTO Contact (Name, Email, Phone) SELECT 'Sujeet Srivastava','Sujeet.Srivastava@bentley.com','912066021012' WHERE NOT EXISTS (SELECT Name FROM Contact WHERE Name = 'Sujeet Srivastava');</v>
      </c>
      <c r="AA13" t="str">
        <f>contactsSQL('Master Table'!AA13)</f>
        <v>INSERT INTO Contact (Name, Email, Phone) SELECT 'Litto Kuttikadan','Litto.Kuttikadan@bentley.com','912066021188' WHERE NOT EXISTS (SELECT Name FROM Contact WHERE Name = 'Litto Kuttikadan');</v>
      </c>
      <c r="AB13" t="str">
        <f>contactsSQL('Master Table'!AB13)</f>
        <v>INSERT INTO Contact (Name, Email, Phone) SELECT 'Alain Beland','Alain.Beland@bentley.com','14188802022' WHERE NOT EXISTS (SELECT Name FROM Contact WHERE Name = 'Alain Beland');</v>
      </c>
      <c r="AC13" t="str">
        <f>contactsSQL('Master Table'!AC13)</f>
        <v>INSERT INTO Contact (Name, Email, Phone) SELECT 'Peter Alspaugh','Peter.Alspaugh@bentley.com','18322172816' WHERE NOT EXISTS (SELECT Name FROM Contact WHERE Name = 'Peter Alspaugh');</v>
      </c>
      <c r="AD13" t="str">
        <f>contactsSQL('Master Table'!AD13)</f>
        <v>INSERT INTO Contact (Name, Email, Phone) SELECT 'Ganesh Deshmukh','Ganesh.Deshmukh@bentley.com','912066021245' WHERE NOT EXISTS (SELECT Name FROM Contact WHERE Name = 'Ganesh Deshmukh');</v>
      </c>
      <c r="AE13" t="str">
        <f>contactsSQL('Master Table'!AE13)</f>
        <v>INSERT INTO Contact (Name, Email, Phone) SELECT 'Ganesh Deshmukh','Ganesh.Deshmukh@bentley.com','912066021245' WHERE NOT EXISTS (SELECT Name FROM Contact WHERE Name = 'Ganesh Deshmukh');</v>
      </c>
      <c r="AF13" t="str">
        <f>contactsSQL('Master Table'!AF13)</f>
        <v>INSERT INTO Contact (Name, Email, Phone) SELECT 'Ganesh Deshmukh','Ganesh.Deshmukh@bentley.com','912066021245' WHERE NOT EXISTS (SELECT Name FROM Contact WHERE Name = 'Ganesh Deshmukh');</v>
      </c>
      <c r="AG13" t="str">
        <f>contactsSQL('Master Table'!AG13)</f>
        <v>INSERT INTO Contact (Name, Email, Phone) SELECT 'Ganesh Deshmukh','Ganesh.Deshmukh@bentley.com','912066021245' WHERE NOT EXISTS (SELECT Name FROM Contact WHERE Name = 'Ganesh Deshmukh');</v>
      </c>
      <c r="AH13" t="str">
        <f>contactsSQL('Master Table'!AH13)</f>
        <v>INSERT INTO Contact (Name, Email, Phone) SELECT 'Adam Smith','Adam.Smith@bentley.com','' WHERE NOT EXISTS (SELECT Name FROM Contact WHERE Name = 'Adam Smith');</v>
      </c>
      <c r="AI13" t="str">
        <f>contactsSQL('Master Table'!AI13)</f>
        <v>INSERT INTO Contact (Name, Email, Phone) SELECT 'Pankaj Mishra','Pankaj.Mishra@bentley.com','912267031250' WHERE NOT EXISTS (SELECT Name FROM Contact WHERE Name = 'Pankaj Mishra');</v>
      </c>
      <c r="AJ13" t="str">
        <f>contactsSQL('Master Table'!AJ13)</f>
        <v>INSERT INTO Contact (Name, Email, Phone) SELECT 'Engteck Soon','Engteck.Soon@bentley.com','61396978647' WHERE NOT EXISTS (SELECT Name FROM Contact WHERE Name = 'Engteck Soon');</v>
      </c>
      <c r="AK13" t="str">
        <f>contactsSQL('Master Table'!AK13)</f>
        <v>INSERT INTO Contact (Name, Email, Phone) SELECT 'Engteck Soon','Engteck.Soon@bentley.com','61396978647' WHERE NOT EXISTS (SELECT Name FROM Contact WHERE Name = 'Engteck Soon');</v>
      </c>
      <c r="AL13" t="str">
        <f>contactsSQL('Master Table'!AL13)</f>
        <v>INSERT INTO Contact (Name, Email, Phone) SELECT 'Linda Oliveira','Linda.Oliveira@bentley.com','16104586084' WHERE NOT EXISTS (SELECT Name FROM Contact WHERE Name = 'Linda Oliveira');</v>
      </c>
      <c r="AM13" t="str">
        <f>contactsSQL('Master Table'!AM13)</f>
        <v>INSERT INTO Contact (Name, Email, Phone) SELECT 'MSV Rao','MSV.Rao@bentley.com','919820223761' WHERE NOT EXISTS (SELECT Name FROM Contact WHERE Name = 'MSV Rao');</v>
      </c>
      <c r="AN13" t="str">
        <f>contactsSQL('Master Table'!AN13)</f>
        <v>INSERT INTO Contact (Name, Email, Phone) SELECT 'Lon Opp','Lon.Opp@bentley.com','12569701127' WHERE NOT EXISTS (SELECT Name FROM Contact WHERE Name = 'Lon Opp');</v>
      </c>
      <c r="AO13" t="str">
        <f>contactsSQL('Master Table'!AO13)</f>
        <v>INSERT INTO Contact (Name, Email, Phone) SELECT 'Clive Hackforth','Clive.Hackforth@bentley.com','442078610933' WHERE NOT EXISTS (SELECT Name FROM Contact WHERE Name = 'Clive Hackforth');</v>
      </c>
      <c r="AP13" t="str">
        <f>contactsSQL('Master Table'!AP13)</f>
        <v>INSERT INTO Contact (Name, Email, Phone) SELECT 'MSV Rao','MSV.Rao@bentley.com','919820223761' WHERE NOT EXISTS (SELECT Name FROM Contact WHERE Name = 'MSV Rao');</v>
      </c>
      <c r="AQ13" t="str">
        <f>contactsSQL('Master Table'!AQ13)</f>
        <v>INSERT INTO Contact (Name, Email, Phone) SELECT 'Joanna Slowinska','Joanna.Slowinska@bentley.com','442078610317' WHERE NOT EXISTS (SELECT Name FROM Contact WHERE Name = 'Joanna Slowinska');</v>
      </c>
      <c r="AR13" t="str">
        <f>contactsSQL('Master Table'!AR13)</f>
        <v>INSERT INTO Contact (Name, Email, Phone) SELECT 'Richard Ellis','Richard.Ellis@bentley.com','6421611832' WHERE NOT EXISTS (SELECT Name FROM Contact WHERE Name = 'Richard Ellis');</v>
      </c>
      <c r="AS13" t="str">
        <f>contactsSQL('Master Table'!AS13)</f>
        <v>INSERT INTO Contact (Name, Email, Phone) SELECT 'Neil Pickin','Neil.Pickin@bentley.com','441619731462' WHERE NOT EXISTS (SELECT Name FROM Contact WHERE Name = 'Neil Pickin');</v>
      </c>
      <c r="AT13" t="str">
        <f>contactsSQL('Master Table'!AT13)</f>
        <v>INSERT INTO Contact (Name, Email, Phone) SELECT 'Mark Mazzeo','Mark.Mazzeo@bentley.com','14122303034' WHERE NOT EXISTS (SELECT Name FROM Contact WHERE Name = 'Mark Mazzeo');</v>
      </c>
      <c r="AU13" t="str">
        <f>contactsSQL('Master Table'!AU13)</f>
        <v>INSERT INTO Contact (Name, Email, Phone) SELECT 'Paul Johnson','Paul.Johnson@bentley.com','16104583191' WHERE NOT EXISTS (SELECT Name FROM Contact WHERE Name = 'Paul Johnson');</v>
      </c>
      <c r="AV13" t="str">
        <f>contactsSQL('Master Table'!AV13)</f>
        <v>INSERT INTO Contact (Name, Email, Phone) SELECT 'Amol Sonawane','Amol.Sonawane@bentley.com','912066021201' WHERE NOT EXISTS (SELECT Name FROM Contact WHERE Name = 'Amol Sonawane');</v>
      </c>
      <c r="AW13" t="str">
        <f>contactsSQL('Master Table'!AW13)</f>
        <v>INSERT INTO Contact (Name, Email, Phone) SELECT 'Ranveer Basra','Ranveer.Basra@bentley.com','16104582950' WHERE NOT EXISTS (SELECT Name FROM Contact WHERE Name = 'Ranveer Basra');</v>
      </c>
      <c r="AX13" t="str">
        <f>contactsSQL('Master Table'!AX13)</f>
        <v>INSERT INTO Contact (Name, Email, Phone) SELECT 'Amol Sonawane','Amol.Sonawane@bentley.com','912066021201' WHERE NOT EXISTS (SELECT Name FROM Contact WHERE Name = 'Amol Sonawane');</v>
      </c>
      <c r="AY13" t="str">
        <f>contactsSQL('Master Table'!AY13)</f>
        <v>INSERT INTO Contact (Name, Email, Phone) SELECT 'Amol Sonawane','Amol.Sonawane@bentley.com','912066021201' WHERE NOT EXISTS (SELECT Name FROM Contact WHERE Name = 'Amol Sonawane');</v>
      </c>
      <c r="AZ13" t="str">
        <f>contactsSQL('Master Table'!AZ13)</f>
        <v>INSERT INTO Contact (Name, Email, Phone) SELECT 'Amol Sonawane','Amol.Sonawane@bentley.com','912066021201' WHERE NOT EXISTS (SELECT Name FROM Contact WHERE Name = 'Amol Sonawane');</v>
      </c>
      <c r="BA13" t="str">
        <f>contactsSQL('Master Table'!BA13)</f>
        <v>INSERT INTO Contact (Name, Email, Phone) SELECT 'Justinas Verbickas','Justinas.Verbickas@bentley.com','37052503337' WHERE NOT EXISTS (SELECT Name FROM Contact WHERE Name = 'Justinas Verbickas');</v>
      </c>
      <c r="BB13" t="str">
        <f>contactsSQL('Master Table'!BB13)</f>
        <v>INSERT INTO Contact (Name, Email, Phone) SELECT 'Justinas Verbickas','Justinas.Verbickas@bentley.com','37052503337' WHERE NOT EXISTS (SELECT Name FROM Contact WHERE Name = 'Justinas Verbickas');</v>
      </c>
      <c r="BC13" t="str">
        <f>contactsSQL('Master Table'!BC13)</f>
        <v>INSERT INTO Contact (Name, Email, Phone) SELECT 'Justinas Verbickas','Justinas.Verbickas@bentley.com','37052503337' WHERE NOT EXISTS (SELECT Name FROM Contact WHERE Name = 'Justinas Verbickas');</v>
      </c>
      <c r="BD13" t="str">
        <f>contactsSQL('Master Table'!BD13)</f>
        <v>INSERT INTO Contact (Name, Email, Phone) SELECT 'Paul Johnson','Paul.Johnson@bentley.com','16104583191' WHERE NOT EXISTS (SELECT Name FROM Contact WHERE Name = 'Paul Johnson');</v>
      </c>
      <c r="BE13" t="str">
        <f>contactsSQL('Master Table'!BE13)</f>
        <v>INSERT INTO Contact (Name, Email, Phone) SELECT 'Paul Johnson','Paul.Johnson@bentley.com','16104583191' WHERE NOT EXISTS (SELECT Name FROM Contact WHERE Name = 'Paul Johnson');</v>
      </c>
      <c r="BF13" t="str">
        <f>contactsSQL('Master Table'!BF13)</f>
        <v>INSERT INTO Contact (Name, Email, Phone) SELECT 'Matt Starke','Matt.Starke@bentley.com','15102502118' WHERE NOT EXISTS (SELECT Name FROM Contact WHERE Name = 'Matt Starke');</v>
      </c>
      <c r="BG13" t="str">
        <f>contactsSQL('Master Table'!BG13)</f>
        <v>INSERT INTO Contact (Name, Email, Phone) SELECT 'Molly Watts','Molly.Watts@bentley.com','16104583183' WHERE NOT EXISTS (SELECT Name FROM Contact WHERE Name = 'Molly Watts');</v>
      </c>
      <c r="BH13" t="str">
        <f>contactsSQL('Master Table'!BH13)</f>
        <v>INSERT INTO Contact (Name, Email, Phone) SELECT 'Amol Sonawane','Amol.Sonawane@bentley.com','912066021201' WHERE NOT EXISTS (SELECT Name FROM Contact WHERE Name = 'Amol Sonawane');</v>
      </c>
      <c r="BI13" t="str">
        <f>contactsSQL('Master Table'!BI13)</f>
        <v>INSERT INTO Contact (Name, Email, Phone) SELECT 'Amol Sonawane','Amol.Sonawane@bentley.com','912066021201' WHERE NOT EXISTS (SELECT Name FROM Contact WHERE Name = 'Amol Sonawane');</v>
      </c>
      <c r="BJ13" t="str">
        <f>contactsSQL('Master Table'!BJ13)</f>
        <v>INSERT INTO Contact (Name, Email, Phone) SELECT 'Amol Sonawane','Amol.Sonawane@bentley.com','912066021201' WHERE NOT EXISTS (SELECT Name FROM Contact WHERE Name = 'Amol Sonawane');</v>
      </c>
      <c r="BK13" t="str">
        <f>contactsSQL('Master Table'!BK13)</f>
        <v/>
      </c>
      <c r="BL13" t="str">
        <f>contactsSQL('Master Table'!BL13)</f>
        <v>INSERT INTO Contact (Name, Email, Phone) SELECT 'Amol Sonawane','Amol.Sonawane@bentley.com','912066021201' WHERE NOT EXISTS (SELECT Name FROM Contact WHERE Name = 'Amol Sonawane');</v>
      </c>
    </row>
    <row r="14" spans="3:64" x14ac:dyDescent="0.25">
      <c r="C14" t="str">
        <f>contactsSQL('Master Table'!C14)</f>
        <v>INSERT INTO Contact (Name, Email, Phone) SELECT 'Ashish Kumar','Ashish.Kumar@bentley.com','97143826008' WHERE NOT EXISTS (SELECT Name FROM Contact WHERE Name = 'Ashish Kumar');</v>
      </c>
      <c r="D14" t="str">
        <f>contactsSQL('Master Table'!D14)</f>
        <v>INSERT INTO Contact (Name, Email, Phone) SELECT 'Ashish Kumar','Ashish.Kumar@bentley.com','97143826008' WHERE NOT EXISTS (SELECT Name FROM Contact WHERE Name = 'Ashish Kumar');</v>
      </c>
      <c r="E14" t="str">
        <f>contactsSQL('Master Table'!E14)</f>
        <v>INSERT INTO Contact (Name, Email, Phone) SELECT 'Ashish Kumar','Ashish.Kumar@bentley.com','97143826008' WHERE NOT EXISTS (SELECT Name FROM Contact WHERE Name = 'Ashish Kumar');</v>
      </c>
      <c r="F14" t="str">
        <f>contactsSQL('Master Table'!F14)</f>
        <v>INSERT INTO Contact (Name, Email, Phone) SELECT 'Ashish Kumar','Ashish.Kumar@bentley.com','97143826008' WHERE NOT EXISTS (SELECT Name FROM Contact WHERE Name = 'Ashish Kumar');</v>
      </c>
      <c r="G14" t="str">
        <f>contactsSQL('Master Table'!G14)</f>
        <v>INSERT INTO Contact (Name, Email, Phone) SELECT 'Ashish Kumar','Ashish.Kumar@bentley.com','97143826008' WHERE NOT EXISTS (SELECT Name FROM Contact WHERE Name = 'Ashish Kumar');</v>
      </c>
      <c r="H14" t="str">
        <f>contactsSQL('Master Table'!H14)</f>
        <v>INSERT INTO Contact (Name, Email, Phone) SELECT 'Ashish Kumar','Ashish.Kumar@bentley.com','97143826008' WHERE NOT EXISTS (SELECT Name FROM Contact WHERE Name = 'Ashish Kumar');</v>
      </c>
      <c r="I14" t="str">
        <f>contactsSQL('Master Table'!I14)</f>
        <v/>
      </c>
      <c r="J14" t="str">
        <f>contactsSQL('Master Table'!J14)</f>
        <v/>
      </c>
      <c r="K14" t="str">
        <f>contactsSQL('Master Table'!K14)</f>
        <v/>
      </c>
      <c r="L14" t="str">
        <f>contactsSQL('Master Table'!L14)</f>
        <v/>
      </c>
      <c r="M14" t="str">
        <f>contactsSQL('Master Table'!M14)</f>
        <v/>
      </c>
      <c r="N14" t="str">
        <f>contactsSQL('Master Table'!N14)</f>
        <v>INSERT INTO Contact (Name, Email, Phone) SELECT 'Manish Singh','Manish.Singh@bentley.com','97143826016' WHERE NOT EXISTS (SELECT Name FROM Contact WHERE Name = 'Manish Singh');INSERT INTO Contact (Name, Email, Phone) SELECT 'Hrayr Daghlian','Hrayr.Daghlian@bentley.com','97143826014' WHERE NOT EXISTS (SELECT Name FROM Contact WHERE Name = 'Hrayr Daghlian');</v>
      </c>
      <c r="O14" t="str">
        <f>contactsSQL('Master Table'!O14)</f>
        <v>INSERT INTO Contact (Name, Email, Phone) SELECT 'Manish Singh','Manish.Singh@bentley.com','97143826016' WHERE NOT EXISTS (SELECT Name FROM Contact WHERE Name = 'Manish Singh');INSERT INTO Contact (Name, Email, Phone) SELECT 'Hrayr Daghlian','Hrayr.Daghlian@bentley.com','97143826014' WHERE NOT EXISTS (SELECT Name FROM Contact WHERE Name = 'Hrayr Daghlian');</v>
      </c>
      <c r="P14" t="str">
        <f>contactsSQL('Master Table'!P14)</f>
        <v>INSERT INTO Contact (Name, Email, Phone) SELECT 'Manish Singh','Manish.Singh@bentley.com','97143826016' WHERE NOT EXISTS (SELECT Name FROM Contact WHERE Name = 'Manish Singh');INSERT INTO Contact (Name, Email, Phone) SELECT 'Hrayr Daghlian','Hrayr.Daghlian@bentley.com','97143826014' WHERE NOT EXISTS (SELECT Name FROM Contact WHERE Name = 'Hrayr Daghlian');</v>
      </c>
      <c r="Q14" t="str">
        <f>contactsSQL('Master Table'!Q14)</f>
        <v>INSERT INTO Contact (Name, Email, Phone) SELECT 'Rick Black','Rick.Black@bentley.com','442078610924' WHERE NOT EXISTS (SELECT Name FROM Contact WHERE Name = 'Rick Black');</v>
      </c>
      <c r="R14" t="str">
        <f>contactsSQL('Master Table'!R14)</f>
        <v>INSERT INTO Contact (Name, Email, Phone) SELECT 'Hrayr Daghlian','Hrayr.Daghlian@bentley.com','97143826014' WHERE NOT EXISTS (SELECT Name FROM Contact WHERE Name = 'Hrayr Daghlian');</v>
      </c>
      <c r="S14" t="str">
        <f>contactsSQL('Master Table'!S14)</f>
        <v>INSERT INTO Contact (Name, Email, Phone) SELECT 'Hrayr Daghlian','Hrayr.Daghlian@bentley.com','97143826014' WHERE NOT EXISTS (SELECT Name FROM Contact WHERE Name = 'Hrayr Daghlian');</v>
      </c>
      <c r="T14" t="str">
        <f>contactsSQL('Master Table'!T14)</f>
        <v>INSERT INTO Contact (Name, Email, Phone) SELECT 'Hrayr Daghlian','Hrayr.Daghlian@bentley.com','97143826014' WHERE NOT EXISTS (SELECT Name FROM Contact WHERE Name = 'Hrayr Daghlian');</v>
      </c>
      <c r="U14" t="str">
        <f>contactsSQL('Master Table'!U14)</f>
        <v>INSERT INTO Contact (Name, Email, Phone) SELECT 'Hrayr Daghlian','Hrayr.Daghlian@bentley.com','97143826014' WHERE NOT EXISTS (SELECT Name FROM Contact WHERE Name = 'Hrayr Daghlian');</v>
      </c>
      <c r="V14" t="str">
        <f>contactsSQL('Master Table'!V14)</f>
        <v>INSERT INTO Contact (Name, Email, Phone) SELECT 'Hrayr Daghlian','Hrayr.Daghlian@bentley.com','97143826014' WHERE NOT EXISTS (SELECT Name FROM Contact WHERE Name = 'Hrayr Daghlian');</v>
      </c>
      <c r="W14" t="str">
        <f>contactsSQL('Master Table'!W14)</f>
        <v>INSERT INTO Contact (Name, Email, Phone) SELECT 'Hrayr Daghlian','Hrayr.Daghlian@bentley.com','97143826014' WHERE NOT EXISTS (SELECT Name FROM Contact WHERE Name = 'Hrayr Daghlian');</v>
      </c>
      <c r="X14" t="str">
        <f>contactsSQL('Master Table'!X14)</f>
        <v>INSERT INTO Contact (Name, Email, Phone) SELECT 'Hrayr Daghlian','Hrayr.Daghlian@bentley.com','97143826014' WHERE NOT EXISTS (SELECT Name FROM Contact WHERE Name = 'Hrayr Daghlian');</v>
      </c>
      <c r="Y14" t="str">
        <f>contactsSQL('Master Table'!Y14)</f>
        <v>INSERT INTO Contact (Name, Email, Phone) SELECT 'Hrayr Daghlian','Hrayr.Daghlian@bentley.com','97143826014' WHERE NOT EXISTS (SELECT Name FROM Contact WHERE Name = 'Hrayr Daghlian');</v>
      </c>
      <c r="Z14" t="str">
        <f>contactsSQL('Master Table'!Z14)</f>
        <v>INSERT INTO Contact (Name, Email, Phone) SELECT 'Hrayr Daghlian','Hrayr.Daghlian@bentley.com','97143826014' WHERE NOT EXISTS (SELECT Name FROM Contact WHERE Name = 'Hrayr Daghlian');</v>
      </c>
      <c r="AA14" t="str">
        <f>contactsSQL('Master Table'!AA14)</f>
        <v>INSERT INTO Contact (Name, Email, Phone) SELECT 'Hrayr Daghlian','Hrayr.Daghlian@bentley.com','97143826014' WHERE NOT EXISTS (SELECT Name FROM Contact WHERE Name = 'Hrayr Daghlian');</v>
      </c>
      <c r="AB14" t="str">
        <f>contactsSQL('Master Table'!AB14)</f>
        <v>INSERT INTO Contact (Name, Email, Phone) SELECT 'Craven Naidoo','Craven.Naidoo@bentley.com','27112533018' WHERE NOT EXISTS (SELECT Name FROM Contact WHERE Name = 'Craven Naidoo');</v>
      </c>
      <c r="AC14" t="str">
        <f>contactsSQL('Master Table'!AC14)</f>
        <v>INSERT INTO Contact (Name, Email, Phone) SELECT 'Hrayr Daghlian','Hrayr.Daghlian@bentley.com','97143826014' WHERE NOT EXISTS (SELECT Name FROM Contact WHERE Name = 'Hrayr Daghlian');</v>
      </c>
      <c r="AD14" t="str">
        <f>contactsSQL('Master Table'!AD14)</f>
        <v>INSERT INTO Contact (Name, Email, Phone) SELECT 'Mostafa Shawkat','Mostafa.Shawkat@bentley.com','97143826018' WHERE NOT EXISTS (SELECT Name FROM Contact WHERE Name = 'Mostafa Shawkat');INSERT INTO Contact (Name, Email, Phone) SELECT 'Hrayr Daghlian','Hrayr.Daghlian@bentley.com','97143826014' WHERE NOT EXISTS (SELECT Name FROM Contact WHERE Name = 'Hrayr Daghlian');</v>
      </c>
      <c r="AE14" t="str">
        <f>contactsSQL('Master Table'!AE14)</f>
        <v>INSERT INTO Contact (Name, Email, Phone) SELECT 'Mostafa Shawkat','Mostafa.Shawkat@bentley.com','97143826018' WHERE NOT EXISTS (SELECT Name FROM Contact WHERE Name = 'Mostafa Shawkat');INSERT INTO Contact (Name, Email, Phone) SELECT 'Hrayr Daghlian','Hrayr.Daghlian@bentley.com','97143826014' WHERE NOT EXISTS (SELECT Name FROM Contact WHERE Name = 'Hrayr Daghlian');</v>
      </c>
      <c r="AF14" t="str">
        <f>contactsSQL('Master Table'!AF14)</f>
        <v>INSERT INTO Contact (Name, Email, Phone) SELECT 'Mostafa Shawkat','Mostafa.Shawkat@bentley.com','97143826018' WHERE NOT EXISTS (SELECT Name FROM Contact WHERE Name = 'Mostafa Shawkat');INSERT INTO Contact (Name, Email, Phone) SELECT 'Hrayr Daghlian','Hrayr.Daghlian@bentley.com','97143826014' WHERE NOT EXISTS (SELECT Name FROM Contact WHERE Name = 'Hrayr Daghlian');</v>
      </c>
      <c r="AG14" t="str">
        <f>contactsSQL('Master Table'!AG14)</f>
        <v>INSERT INTO Contact (Name, Email, Phone) SELECT 'Mostafa Shawkat','Mostafa.Shawkat@bentley.com','97143826018' WHERE NOT EXISTS (SELECT Name FROM Contact WHERE Name = 'Mostafa Shawkat');INSERT INTO Contact (Name, Email, Phone) SELECT 'Hrayr Daghlian','Hrayr.Daghlian@bentley.com','97143826014' WHERE NOT EXISTS (SELECT Name FROM Contact WHERE Name = 'Hrayr Daghlian');</v>
      </c>
      <c r="AH14" t="str">
        <f>contactsSQL('Master Table'!AH14)</f>
        <v>INSERT INTO Contact (Name, Email, Phone) SELECT 'Mostafa Shawkat','Mostafa.Shawkat@bentley.com','97143826018' WHERE NOT EXISTS (SELECT Name FROM Contact WHERE Name = 'Mostafa Shawkat');INSERT INTO Contact (Name, Email, Phone) SELECT 'Hrayr Daghlian','Hrayr.Daghlian@bentley.com','97143826014' WHERE NOT EXISTS (SELECT Name FROM Contact WHERE Name = 'Hrayr Daghlian');</v>
      </c>
      <c r="AI14" t="str">
        <f>contactsSQL('Master Table'!AI14)</f>
        <v>INSERT INTO Contact (Name, Email, Phone) SELECT 'Rick Black','Rick.Black@bentley.com','442078610924' WHERE NOT EXISTS (SELECT Name FROM Contact WHERE Name = 'Rick Black');</v>
      </c>
      <c r="AJ14" t="str">
        <f>contactsSQL('Master Table'!AJ14)</f>
        <v>INSERT INTO Contact (Name, Email, Phone) SELECT 'Freek Verhoef','Freek.Verhoef@bentley.com','27794964032' WHERE NOT EXISTS (SELECT Name FROM Contact WHERE Name = 'Freek Verhoef');</v>
      </c>
      <c r="AK14" t="str">
        <f>contactsSQL('Master Table'!AK14)</f>
        <v>INSERT INTO Contact (Name, Email, Phone) SELECT 'George Khoury','George.Khoury@bentley.com','96171057172' WHERE NOT EXISTS (SELECT Name FROM Contact WHERE Name = 'George Khoury');</v>
      </c>
      <c r="AL14" t="str">
        <f>contactsSQL('Master Table'!AL14)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M14" t="str">
        <f>contactsSQL('Master Table'!AM14)</f>
        <v>INSERT INTO Contact (Name, Email, Phone) SELECT 'Gaurav Malik','Gaurav.Malik@bentley.com','91' WHERE NOT EXISTS (SELECT Name FROM Contact WHERE Name = 'Gaurav Malik');INSERT INTO Contact (Name, Email, Phone) SELECT 'Suneet Manjavkar','Suneet.Manjavkar@bentley.com','1149021128' WHERE NOT EXISTS (SELECT Name FROM Contact WHERE Name = 'Suneet Manjavkar');</v>
      </c>
      <c r="AN14" t="str">
        <f>contactsSQL('Master Table'!AN14)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O14" t="str">
        <f>contactsSQL('Master Table'!AO14)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14" t="str">
        <f>contactsSQL('Master Table'!AP14)</f>
        <v>INSERT INTO Contact (Name, Email, Phone) SELECT 'Muhanned Shaweesh','Muhannad.Shaweesh@bentley.com','96265679300' WHERE NOT EXISTS (SELECT Name FROM Contact WHERE Name = 'Muhanned Shaweesh');INSERT INTO Contact (Name, Email, Phone) SELECT 'Henry vanTonder','Henry.vanTonder@bentley.com','112' WHERE NOT EXISTS (SELECT Name FROM Contact WHERE Name = 'Henry vanTonder');</v>
      </c>
      <c r="AQ14" t="str">
        <f>contactsSQL('Master Table'!AQ14)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14" t="str">
        <f>contactsSQL('Master Table'!AR14)</f>
        <v>INSERT INTO Contact (Name, Email, Phone) SELECT 'Dan Vogen','Dan.Vogen@bentley.com','16309816500' WHERE NOT EXISTS (SELECT Name FROM Contact WHERE Name = 'Dan Vogen');</v>
      </c>
      <c r="AS14" t="str">
        <f>contactsSQL('Master Table'!AS14)</f>
        <v>INSERT INTO Contact (Name, Email, Phone) SELECT 'George Khoury','George.Khoury@bentley.com','96171057172' WHERE NOT EXISTS (SELECT Name FROM Contact WHERE Name = 'George Khoury');</v>
      </c>
      <c r="AT14" t="str">
        <f>contactsSQL('Master Table'!AT14)</f>
        <v>INSERT INTO Contact (Name, Email, Phone) SELECT 'Ben Witter','Ben.Witter@bentley.com','12676642491' WHERE NOT EXISTS (SELECT Name FROM Contact WHERE Name = 'Ben Witter');</v>
      </c>
      <c r="AU14" t="str">
        <f>contactsSQL('Master Table'!AU14)</f>
        <v>INSERT INTO Contact (Name, Email, Phone) SELECT 'Eric Crivella','Eric.Crivella@bentley.com','18322172802' WHERE NOT EXISTS (SELECT Name FROM Contact WHERE Name = 'Eric Crivella');</v>
      </c>
      <c r="AV14" t="str">
        <f>contactsSQL('Master Table'!AV14)</f>
        <v>INSERT INTO Contact (Name, Email, Phone) SELECT 'Vivek Kale','Vivek.Kale@bentley.com','97143826027' WHERE NOT EXISTS (SELECT Name FROM Contact WHERE Name = 'Vivek Kale');</v>
      </c>
      <c r="AW14" t="str">
        <f>contactsSQL('Master Table'!AW14)</f>
        <v>INSERT INTO Contact (Name, Email, Phone) SELECT 'Vivek Kale','Vivek.Kale@bentley.com','97143826027' WHERE NOT EXISTS (SELECT Name FROM Contact WHERE Name = 'Vivek Kale');</v>
      </c>
      <c r="AX14" t="str">
        <f>contactsSQL('Master Table'!AX14)</f>
        <v>INSERT INTO Contact (Name, Email, Phone) SELECT 'Vivek Kale','Vivek.Kale@bentley.com','97143826027' WHERE NOT EXISTS (SELECT Name FROM Contact WHERE Name = 'Vivek Kale');</v>
      </c>
      <c r="AY14" t="str">
        <f>contactsSQL('Master Table'!AY14)</f>
        <v>INSERT INTO Contact (Name, Email, Phone) SELECT 'Vivek Kale','Vivek.Kale@bentley.com','97143826027' WHERE NOT EXISTS (SELECT Name FROM Contact WHERE Name = 'Vivek Kale');</v>
      </c>
      <c r="AZ14" t="str">
        <f>contactsSQL('Master Table'!AZ14)</f>
        <v>INSERT INTO Contact (Name, Email, Phone) SELECT 'Vivek Kale','Vivek.Kale@bentley.com','97143826027' WHERE NOT EXISTS (SELECT Name FROM Contact WHERE Name = 'Vivek Kale');</v>
      </c>
      <c r="BA14" t="str">
        <f>contactsSQL('Master Table'!BA14)</f>
        <v>INSERT INTO Contact (Name, Email, Phone) SELECT 'Vivek Kale','Vivek.Kale@bentley.com','97143826027' WHERE NOT EXISTS (SELECT Name FROM Contact WHERE Name = 'Vivek Kale');</v>
      </c>
      <c r="BB14" t="str">
        <f>contactsSQL('Master Table'!BB14)</f>
        <v>INSERT INTO Contact (Name, Email, Phone) SELECT 'Vivek Kale','Vivek.Kale@bentley.com','97143826027' WHERE NOT EXISTS (SELECT Name FROM Contact WHERE Name = 'Vivek Kale');</v>
      </c>
      <c r="BC14" t="str">
        <f>contactsSQL('Master Table'!BC14)</f>
        <v>INSERT INTO Contact (Name, Email, Phone) SELECT 'Vivek Kale','Vivek.Kale@bentley.com','97143826027' WHERE NOT EXISTS (SELECT Name FROM Contact WHERE Name = 'Vivek Kale');</v>
      </c>
      <c r="BD14" t="str">
        <f>contactsSQL('Master Table'!BD14)</f>
        <v>INSERT INTO Contact (Name, Email, Phone) SELECT 'Ashish Kumar','Ashish.Kumar@bentley.com','97143826008' WHERE NOT EXISTS (SELECT Name FROM Contact WHERE Name = 'Ashish Kumar');</v>
      </c>
      <c r="BE14" t="str">
        <f>contactsSQL('Master Table'!BE14)</f>
        <v>INSERT INTO Contact (Name, Email, Phone) SELECT 'Eric Crivella','Eric.Crivella@bentley.com','18322172802' WHERE NOT EXISTS (SELECT Name FROM Contact WHERE Name = 'Eric Crivella');</v>
      </c>
      <c r="BF14" t="str">
        <f>contactsSQL('Master Table'!BF14)</f>
        <v>INSERT INTO Contact (Name, Email, Phone) SELECT 'Manish Singh','Manish.Singh@bentley.com','97143826016' WHERE NOT EXISTS (SELECT Name FROM Contact WHERE Name = 'Manish Singh');</v>
      </c>
      <c r="BG14" t="str">
        <f>contactsSQL('Master Table'!BG14)</f>
        <v>INSERT INTO Contact (Name, Email, Phone) SELECT 'Vivek Kale','Vivek.Kale@bentley.com','97143826027' WHERE NOT EXISTS (SELECT Name FROM Contact WHERE Name = 'Vivek Kale');</v>
      </c>
      <c r="BH14" t="str">
        <f>contactsSQL('Master Table'!BH14)</f>
        <v>INSERT INTO Contact (Name, Email, Phone) SELECT 'Vivek Kale','Vivek.Kale@bentley.com','97143826027' WHERE NOT EXISTS (SELECT Name FROM Contact WHERE Name = 'Vivek Kale');</v>
      </c>
      <c r="BI14" t="str">
        <f>contactsSQL('Master Table'!BI14)</f>
        <v>INSERT INTO Contact (Name, Email, Phone) SELECT 'Vivek Kale','Vivek.Kale@bentley.com','97143826027' WHERE NOT EXISTS (SELECT Name FROM Contact WHERE Name = 'Vivek Kale');</v>
      </c>
      <c r="BJ14" t="str">
        <f>contactsSQL('Master Table'!BJ14)</f>
        <v>INSERT INTO Contact (Name, Email, Phone) SELECT 'Vivek Kale','Vivek.Kale@bentley.com','97143826027' WHERE NOT EXISTS (SELECT Name FROM Contact WHERE Name = 'Vivek Kale');</v>
      </c>
      <c r="BK14" t="str">
        <f>contactsSQL('Master Table'!BK14)</f>
        <v>INSERT INTO Contact (Name, Email, Phone) SELECT 'Vivek Kale','Vivek.Kale@bentley.com','97143826027' WHERE NOT EXISTS (SELECT Name FROM Contact WHERE Name = 'Vivek Kale');</v>
      </c>
      <c r="BL14" t="str">
        <f>contactsSQL('Master Table'!BL14)</f>
        <v>INSERT INTO Contact (Name, Email, Phone) SELECT 'Vivek Kale','Vivek.Kale@bentley.com','97143826027' WHERE NOT EXISTS (SELECT Name FROM Contact WHERE Name = 'Vivek Kale');</v>
      </c>
    </row>
    <row r="15" spans="3:64" x14ac:dyDescent="0.25">
      <c r="C15" t="str">
        <f>contactsSQL('Master Table'!C15)</f>
        <v>INSERT INTO Contact (Name, Email, Phone) SELECT 'Carlos Aguera','Carlos.Aguera@bentley.com','442078610973' WHERE NOT EXISTS (SELECT Name FROM Contact WHERE Name = 'Carlos Aguera');</v>
      </c>
      <c r="D15" t="str">
        <f>contactsSQL('Master Table'!D15)</f>
        <v>INSERT INTO Contact (Name, Email, Phone) SELECT 'Allen Adams','Allen.Adams@bentley.com','17604313610' WHERE NOT EXISTS (SELECT Name FROM Contact WHERE Name = 'Allen Adams');</v>
      </c>
      <c r="E15" t="str">
        <f>contactsSQL('Master Table'!E15)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15" t="str">
        <f>contactsSQL('Master Table'!F15)</f>
        <v>INSERT INTO Contact (Name, Email, Phone) SELECT 'Parvinder Jhita','Parvinder.Jhita@bentley.com','15043025180' WHERE NOT EXISTS (SELECT Name FROM Contact WHERE Name = 'Parvinder Jhita');</v>
      </c>
      <c r="G15" t="str">
        <f>contactsSQL('Master Table'!G15)</f>
        <v>INSERT INTO Contact (Name, Email, Phone) SELECT 'Pat Couser','Pat.Couser@bentley.com','' WHERE NOT EXISTS (SELECT Name FROM Contact WHERE Name = 'Pat Couser');</v>
      </c>
      <c r="H15" t="str">
        <f>contactsSQL('Master Table'!H15)</f>
        <v>INSERT INTO Contact (Name, Email, Phone) SELECT 'Georgina Maldonado','Georgina.Maldonado@bentley.com','17133608369' WHERE NOT EXISTS (SELECT Name FROM Contact WHERE Name = 'Georgina Maldonado');</v>
      </c>
      <c r="I15" t="str">
        <f>contactsSQL('Master Table'!I15)</f>
        <v>INSERT INTO Contact (Name, Email, Phone) SELECT 'Gregor Strekelj','Gregor.Strekelj@bentley.com','4331682153165' WHERE NOT EXISTS (SELECT Name FROM Contact WHERE Name = 'Gregor Strekelj');</v>
      </c>
      <c r="J15" t="str">
        <f>contactsSQL('Master Table'!J15)</f>
        <v>INSERT INTO Contact (Name, Email, Phone) SELECT 'Xin Luo','Xin.Luo@bentley.com','19543439359' WHERE NOT EXISTS (SELECT Name FROM Contact WHERE Name = 'Xin Luo');</v>
      </c>
      <c r="K15" t="str">
        <f>contactsSQL('Master Table'!K15)</f>
        <v>INSERT INTO Contact (Name, Email, Phone) SELECT 'Sri Kanneganti','Sri.Kanneganti@bentley.com','19543439325' WHERE NOT EXISTS (SELECT Name FROM Contact WHERE Name = 'Sri Kanneganti');</v>
      </c>
      <c r="L15" t="str">
        <f>contactsSQL('Master Table'!L15)</f>
        <v>INSERT INTO Contact (Name, Email, Phone) SELECT 'Bill Beyer','Bill.Beyer@bentley.com','18166667568' WHERE NOT EXISTS (SELECT Name FROM Contact WHERE Name = 'Bill Beyer');</v>
      </c>
      <c r="M15" t="str">
        <f>contactsSQL('Master Table'!M15)</f>
        <v>INSERT INTO Contact (Name, Email, Phone) SELECT 'David Settlemeyer','David.Settlemyer@bentley.com','16103214610' WHERE NOT EXISTS (SELECT Name FROM Contact WHERE Name = 'David Settlemeyer');</v>
      </c>
      <c r="N15" t="str">
        <f>contactsSQL('Master Table'!N15)</f>
        <v>INSERT INTO Contact (Name, Email, Phone) SELECT 'Andy Smith','Andy.Smith@bentley.com','7046630319' WHERE NOT EXISTS (SELECT Name FROM Contact WHERE Name = 'Andy Smith');</v>
      </c>
      <c r="O15" t="str">
        <f>contactsSQL('Master Table'!O15)</f>
        <v>INSERT INTO Contact (Name, Email, Phone) SELECT 'Andy Smith','Andy.Smith@bentley.com','7046630319' WHERE NOT EXISTS (SELECT Name FROM Contact WHERE Name = 'Andy Smith');</v>
      </c>
      <c r="P15" t="str">
        <f>contactsSQL('Master Table'!P15)</f>
        <v>INSERT INTO Contact (Name, Email, Phone) SELECT 'Paul Demetriou','Paul.Demetriou@bentley.com','12088879204' WHERE NOT EXISTS (SELECT Name FROM Contact WHERE Name = 'Paul Demetriou');</v>
      </c>
      <c r="Q15" t="str">
        <f>contactsSQL('Master Table'!Q15)</f>
        <v>INSERT INTO Contact (Name, Email, Phone) SELECT 'Ian Rosam','Ian.Rosam@bentley.com','442078610313' WHERE NOT EXISTS (SELECT Name FROM Contact WHERE Name = 'Ian Rosam');</v>
      </c>
      <c r="R15" t="str">
        <f>contactsSQL('Master Table'!R15)</f>
        <v>INSERT INTO Contact (Name, Email, Phone) SELECT 'Ian Rosam','Ian.Rosam@bentley.com','442078610313' WHERE NOT EXISTS (SELECT Name FROM Contact WHERE Name = 'Ian Rosam');</v>
      </c>
      <c r="S15" t="str">
        <f>contactsSQL('Master Table'!S15)</f>
        <v>INSERT INTO Contact (Name, Email, Phone) SELECT 'Ian Rosam','Ian.Rosam@bentley.com','442078610313' WHERE NOT EXISTS (SELECT Name FROM Contact WHERE Name = 'Ian Rosam');</v>
      </c>
      <c r="T15" t="str">
        <f>contactsSQL('Master Table'!T15)</f>
        <v>INSERT INTO Contact (Name, Email, Phone) SELECT 'Kivanc Karakas','Kivanc.Karakas@bentley.com','442078610339' WHERE NOT EXISTS (SELECT Name FROM Contact WHERE Name = 'Kivanc Karakas');</v>
      </c>
      <c r="U15" t="str">
        <f>contactsSQL('Master Table'!U15)</f>
        <v>INSERT INTO Contact (Name, Email, Phone) SELECT 'Ian Rosam','Ian.Rosam@bentley.com','442078610313' WHERE NOT EXISTS (SELECT Name FROM Contact WHERE Name = 'Ian Rosam');</v>
      </c>
      <c r="V15" t="str">
        <f>contactsSQL('Master Table'!V15)</f>
        <v>INSERT INTO Contact (Name, Email, Phone) SELECT 'Francois Valois','Francois.Valois@bentley.com','15817817522' WHERE NOT EXISTS (SELECT Name FROM Contact WHERE Name = 'Francois Valois');</v>
      </c>
      <c r="W15" t="str">
        <f>contactsSQL('Master Table'!W15)</f>
        <v>INSERT INTO Contact (Name, Email, Phone) SELECT 'Nicolas Loubier','Nicolas.Loubier@bentley.com','15817817567' WHERE NOT EXISTS (SELECT Name FROM Contact WHERE Name = 'Nicolas Loubier');</v>
      </c>
      <c r="X15" t="str">
        <f>contactsSQL('Master Table'!X15)</f>
        <v>INSERT INTO Contact (Name, Email, Phone) SELECT 'Adnan Ulhaq','Adnan.Ulhaq@bentley.com','92512078422' WHERE NOT EXISTS (SELECT Name FROM Contact WHERE Name = 'Adnan Ulhaq');</v>
      </c>
      <c r="Y15" t="str">
        <f>contactsSQL('Master Table'!Y15)</f>
        <v>INSERT INTO Contact (Name, Email, Phone) SELECT 'Tim Lawrence','Tim.Lawrence@bentley.com','15873158588' WHERE NOT EXISTS (SELECT Name FROM Contact WHERE Name = 'Tim Lawrence');</v>
      </c>
      <c r="Z15" t="str">
        <f>contactsSQL('Master Table'!Z15)</f>
        <v>INSERT INTO Contact (Name, Email, Phone) SELECT 'Abbas Ali','','16104583160' WHERE NOT EXISTS (SELECT Name FROM Contact WHERE Name = 'Abbas Ali');</v>
      </c>
      <c r="AA15" t="str">
        <f>contactsSQL('Master Table'!AA15)</f>
        <v>INSERT INTO Contact (Name, Email, Phone) SELECT 'Rob Harper','Rob.Harper@bentley.com','17137303385' WHERE NOT EXISTS (SELECT Name FROM Contact WHERE Name = 'Rob Harper');</v>
      </c>
      <c r="AB15" t="str">
        <f>contactsSQL('Master Table'!AB15)</f>
        <v>INSERT INTO Contact (Name, Email, Phone) SELECT 'Alain Beland','Alain.Beland@bentley.com','14188802022' WHERE NOT EXISTS (SELECT Name FROM Contact WHERE Name = 'Alain Beland');</v>
      </c>
      <c r="AC15" t="str">
        <f>contactsSQL('Master Table'!AC15)</f>
        <v>INSERT INTO Contact (Name, Email, Phone) SELECT 'Tim Lawrence','Tim.Lawrence@bentley.com','15873158588' WHERE NOT EXISTS (SELECT Name FROM Contact WHERE Name = 'Tim Lawrence');</v>
      </c>
      <c r="AD15" t="str">
        <f>contactsSQL('Master Table'!AD15)</f>
        <v>INSERT INTO Contact (Name, Email, Phone) SELECT 'Benoit Frederique','Benoit.Fredericque@bentley.com','' WHERE NOT EXISTS (SELECT Name FROM Contact WHERE Name = 'Benoit Frederique');</v>
      </c>
      <c r="AE15" t="str">
        <f>contactsSQL('Master Table'!AE15)</f>
        <v>INSERT INTO Contact (Name, Email, Phone) SELECT 'Benoit Frederique','Benoit.Fredericque@bentley.com','' WHERE NOT EXISTS (SELECT Name FROM Contact WHERE Name = 'Benoit Frederique');</v>
      </c>
      <c r="AF15" t="str">
        <f>contactsSQL('Master Table'!AF15)</f>
        <v>INSERT INTO Contact (Name, Email, Phone) SELECT 'Benoit Frederique','Benoit.Fredericque@bentley.com','' WHERE NOT EXISTS (SELECT Name FROM Contact WHERE Name = 'Benoit Frederique');</v>
      </c>
      <c r="AG15" t="str">
        <f>contactsSQL('Master Table'!AG15)</f>
        <v>INSERT INTO Contact (Name, Email, Phone) SELECT 'Benoit Frederique','Benoit.Fredericque@bentley.com','' WHERE NOT EXISTS (SELECT Name FROM Contact WHERE Name = 'Benoit Frederique');</v>
      </c>
      <c r="AH15" t="str">
        <f>contactsSQL('Master Table'!AH15)</f>
        <v>INSERT INTO Contact (Name, Email, Phone) SELECT 'Jim Barr','Jim.Barr@bentley.com','1256' WHERE NOT EXISTS (SELECT Name FROM Contact WHERE Name = 'Jim Barr');</v>
      </c>
      <c r="AI15" t="str">
        <f>contactsSQL('Master Table'!AI15)</f>
        <v>INSERT INTO Contact (Name, Email, Phone) SELECT 'Slavica Bozic','Slavica.Bozic@bentley.com','16302338281' WHERE NOT EXISTS (SELECT Name FROM Contact WHERE Name = 'Slavica Bozic');</v>
      </c>
      <c r="AJ15" t="str">
        <f>contactsSQL('Master Table'!AJ15)</f>
        <v>INSERT INTO Contact (Name, Email, Phone) SELECT 'Jim Newman','Jim.Newman@bentley.com','17044332566' WHERE NOT EXISTS (SELECT Name FROM Contact WHERE Name = 'Jim Newman');</v>
      </c>
      <c r="AK15" t="str">
        <f>contactsSQL('Master Table'!AK15)</f>
        <v>INSERT INTO Contact (Name, Email, Phone) SELECT 'Aaron Beazley','Aaron.Beazley@bentley.com','12898162642' WHERE NOT EXISTS (SELECT Name FROM Contact WHERE Name = 'Aaron Beazley');</v>
      </c>
      <c r="AL15" t="str">
        <f>contactsSQL('Master Table'!AL15)</f>
        <v>INSERT INTO Contact (Name, Email, Phone) SELECT 'Gijsbert Noordam','Gijsbert.Noordam@bentley.com','31235560626' WHERE NOT EXISTS (SELECT Name FROM Contact WHERE Name = 'Gijsbert Noordam');</v>
      </c>
      <c r="AM15" t="str">
        <f>contactsSQL('Master Table'!AM15)</f>
        <v>INSERT INTO Contact (Name, Email, Phone) SELECT 'Gregg Herrin','Gregg.Herrin@bentley.com','16104583188' WHERE NOT EXISTS (SELECT Name FROM Contact WHERE Name = 'Gregg Herrin');</v>
      </c>
      <c r="AN15" t="str">
        <f>contactsSQL('Master Table'!AN15)</f>
        <v>INSERT INTO Contact (Name, Email, Phone) SELECT 'Gijsbert Noordam','Gijsbert.Noordam@bentley.com','31235560626' WHERE NOT EXISTS (SELECT Name FROM Contact WHERE Name = 'Gijsbert Noordam');</v>
      </c>
      <c r="AO15" t="str">
        <f>contactsSQL('Master Table'!AO15)</f>
        <v>INSERT INTO Contact (Name, Email, Phone) SELECT 'Russell Page','Russell.Page@bentley.com','13032210689' WHERE NOT EXISTS (SELECT Name FROM Contact WHERE Name = 'Russell Page');</v>
      </c>
      <c r="AP15" t="str">
        <f>contactsSQL('Master Table'!AP15)</f>
        <v>INSERT INTO Contact (Name, Email, Phone) SELECT 'Mal Sharkey','Mal.Sharkey@bentley.com','61396978623' WHERE NOT EXISTS (SELECT Name FROM Contact WHERE Name = 'Mal Sharkey');</v>
      </c>
      <c r="AQ15" t="str">
        <f>contactsSQL('Master Table'!AQ15)</f>
        <v>INSERT INTO Contact (Name, Email, Phone) SELECT 'Aaron Beazily','Aaron.Beazley@bentley.com','12898162642' WHERE NOT EXISTS (SELECT Name FROM Contact WHERE Name = 'Aaron Beazily');</v>
      </c>
      <c r="AR15" t="str">
        <f>contactsSQL('Master Table'!AR15)</f>
        <v>INSERT INTO Contact (Name, Email, Phone) SELECT 'Jim Scott','Jim.Scott@bentley.com','13039670864' WHERE NOT EXISTS (SELECT Name FROM Contact WHERE Name = 'Jim Scott');</v>
      </c>
      <c r="AS15" t="str">
        <f>contactsSQL('Master Table'!AS15)</f>
        <v>INSERT INTO Contact (Name, Email, Phone) SELECT 'Duncan Rodger','Duncan.Rodger@bentley.com','441349865554' WHERE NOT EXISTS (SELECT Name FROM Contact WHERE Name = 'Duncan Rodger');</v>
      </c>
      <c r="AT15" t="str">
        <f>contactsSQL('Master Table'!AT15)</f>
        <v>INSERT INTO Contact (Name, Email, Phone) SELECT 'Taylor Gilmore','Taylor.Gilmore@bentley.com','14126811521' WHERE NOT EXISTS (SELECT Name FROM Contact WHERE Name = 'Taylor Gilmore');</v>
      </c>
      <c r="AU15" t="str">
        <f>contactsSQL('Master Table'!AU15)</f>
        <v>INSERT INTO Contact (Name, Email, Phone) SELECT 'Paolomee Udani','Paolomee.Udani@bentley.com','19252745107' WHERE NOT EXISTS (SELECT Name FROM Contact WHERE Name = 'Paolomee Udani');</v>
      </c>
      <c r="AV15" t="str">
        <f>contactsSQL('Master Table'!AV15)</f>
        <v>INSERT INTO Contact (Name, Email, Phone) SELECT 'Bill McNamara','Bill.McNamara@bentley.com','16104587602' WHERE NOT EXISTS (SELECT Name FROM Contact WHERE Name = 'Bill McNamara');</v>
      </c>
      <c r="AW15" t="str">
        <f>contactsSQL('Master Table'!AW15)</f>
        <v>INSERT INTO Contact (Name, Email, Phone) SELECT 'Bill McNamara','Bill.McNamara@bentley.com','16104587602' WHERE NOT EXISTS (SELECT Name FROM Contact WHERE Name = 'Bill McNamara');</v>
      </c>
      <c r="AX15" t="str">
        <f>contactsSQL('Master Table'!AX15)</f>
        <v>INSERT INTO Contact (Name, Email, Phone) SELECT 'Bill McNamara','Bill.McNamara@bentley.com','16104587602' WHERE NOT EXISTS (SELECT Name FROM Contact WHERE Name = 'Bill McNamara');</v>
      </c>
      <c r="AY15" t="str">
        <f>contactsSQL('Master Table'!AY15)</f>
        <v>INSERT INTO Contact (Name, Email, Phone) SELECT 'Bill McNamara','Bill.McNamara@bentley.com','16104587602' WHERE NOT EXISTS (SELECT Name FROM Contact WHERE Name = 'Bill McNamara');</v>
      </c>
      <c r="AZ15" t="str">
        <f>contactsSQL('Master Table'!AZ15)</f>
        <v>INSERT INTO Contact (Name, Email, Phone) SELECT 'Bill McNamara','Bill.McNamara@bentley.com','16104587602' WHERE NOT EXISTS (SELECT Name FROM Contact WHERE Name = 'Bill McNamara');</v>
      </c>
      <c r="BA15" t="str">
        <f>contactsSQL('Master Table'!BA15)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15" t="str">
        <f>contactsSQL('Master Table'!BB15)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15" t="str">
        <f>contactsSQL('Master Table'!BC15)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15" t="str">
        <f>contactsSQL('Master Table'!BD15)</f>
        <v>INSERT INTO Contact (Name, Email, Phone) SELECT 'Joe Granville','Joe.Granville@bentley.com','16104582951' WHERE NOT EXISTS (SELECT Name FROM Contact WHERE Name = 'Joe Granville');</v>
      </c>
      <c r="BE15" t="str">
        <f>contactsSQL('Master Table'!BE15)</f>
        <v>INSERT INTO Contact (Name, Email, Phone) SELECT 'Beth Buerger','Beth.Buerger@bentley.com','17205283380' WHERE NOT EXISTS (SELECT Name FROM Contact WHERE Name = 'Beth Buerger');</v>
      </c>
      <c r="BF15" t="str">
        <f>contactsSQL('Master Table'!BF15)</f>
        <v>INSERT INTO Contact (Name, Email, Phone) SELECT 'Sam Stuart','Sam.Stuart@bentley.com','' WHERE NOT EXISTS (SELECT Name FROM Contact WHERE Name = 'Sam Stuart');</v>
      </c>
      <c r="BG15" t="str">
        <f>contactsSQL('Master Table'!BG15)</f>
        <v>INSERT INTO Contact (Name, Email, Phone) SELECT 'Rimantas Varanavicius','imantas.Varanavicius@bentley.com','37052398145' WHERE NOT EXISTS (SELECT Name FROM Contact WHERE Name = 'Rimantas Varanavicius');</v>
      </c>
      <c r="BH15" t="str">
        <f>contactsSQL('Master Table'!BH15)</f>
        <v>INSERT INTO Contact (Name, Email, Phone) SELECT 'Jo Wright','Jo.Wright@bentley.com','12569701111' WHERE NOT EXISTS (SELECT Name FROM Contact WHERE Name = 'Jo Wright');</v>
      </c>
      <c r="BI15" t="str">
        <f>contactsSQL('Master Table'!BI15)</f>
        <v>INSERT INTO Contact (Name, Email, Phone) SELECT 'Jo Wright','Jo.Wright@bentley.com','12569701111' WHERE NOT EXISTS (SELECT Name FROM Contact WHERE Name = 'Jo Wright');</v>
      </c>
      <c r="BJ15" t="str">
        <f>contactsSQL('Master Table'!BJ15)</f>
        <v>INSERT INTO Contact (Name, Email, Phone) SELECT 'Jo Wright','Jo.Wright@bentley.com','12569701111' WHERE NOT EXISTS (SELECT Name FROM Contact WHERE Name = 'Jo Wright');</v>
      </c>
      <c r="BK15" t="str">
        <f>contactsSQL('Master Table'!BK15)</f>
        <v>INSERT INTO Contact (Name, Email, Phone) SELECT 'Jo Wright','Jo.Wright@bentley.com','12569701111' WHERE NOT EXISTS (SELECT Name FROM Contact WHERE Name = 'Jo Wright');</v>
      </c>
      <c r="BL15" t="str">
        <f>contactsSQL('Master Table'!BL15)</f>
        <v>INSERT INTO Contact (Name, Email, Phone) SELECT 'Jo Wright','Jo.Wright@bentley.com','12569701111' WHERE NOT EXISTS (SELECT Name FROM Contact WHERE Name = 'Jo Wright');</v>
      </c>
    </row>
    <row r="16" spans="3:64" x14ac:dyDescent="0.25">
      <c r="C16" t="str">
        <f>contactsSQL('Master Table'!C16)</f>
        <v>INSERT INTO Contact (Name, Email, Phone) SELECT 'Badr Ziane','Badreddine.Ziane@bentley.com','33155238407' WHERE NOT EXISTS (SELECT Name FROM Contact WHERE Name = 'Badr Ziane');</v>
      </c>
      <c r="D16" t="str">
        <f>contactsSQL('Master Table'!D16)</f>
        <v>INSERT INTO Contact (Name, Email, Phone) SELECT 'Richard Tully','Richard.Tully@bentley.com','442078617874' WHERE NOT EXISTS (SELECT Name FROM Contact WHERE Name = 'Richard Tully');</v>
      </c>
      <c r="E16" t="str">
        <f>contactsSQL('Master Table'!E16)</f>
        <v/>
      </c>
      <c r="F16" t="str">
        <f>contactsSQL('Master Table'!F16)</f>
        <v>INSERT INTO Contact (Name, Email, Phone) SELECT 'Aby Paul','Aby.Paul@bentley.com','97143826005' WHERE NOT EXISTS (SELECT Name FROM Contact WHERE Name = 'Aby Paul');</v>
      </c>
      <c r="G16" t="str">
        <f>contactsSQL('Master Table'!G16)</f>
        <v>INSERT INTO Contact (Name, Email, Phone) SELECT 'Aby Paul','Aby.Paul@bentley.com','97143826005' WHERE NOT EXISTS (SELECT Name FROM Contact WHERE Name = 'Aby Paul');</v>
      </c>
      <c r="H16" t="str">
        <f>contactsSQL('Master Table'!H16)</f>
        <v>INSERT INTO Contact (Name, Email, Phone) SELECT 'Aby Paul','Aby.Paul@bentley.com','97143826005' WHERE NOT EXISTS (SELECT Name FROM Contact WHERE Name = 'Aby Paul');</v>
      </c>
      <c r="I16" t="str">
        <f>contactsSQL('Master Table'!I16)</f>
        <v>INSERT INTO Contact (Name, Email, Phone) SELECT 'JP Chanard','JeanPierre.Chanard@bentley.com','33155238460' WHERE NOT EXISTS (SELECT Name FROM Contact WHERE Name = 'JP Chanard');</v>
      </c>
      <c r="J16" t="str">
        <f>contactsSQL('Master Table'!J16)</f>
        <v>INSERT INTO Contact (Name, Email, Phone) SELECT 'JP Chanard','JeanPierre.Chanard@bentley.com','33155238460' WHERE NOT EXISTS (SELECT Name FROM Contact WHERE Name = 'JP Chanard');</v>
      </c>
      <c r="K16" t="str">
        <f>contactsSQL('Master Table'!K16)</f>
        <v>INSERT INTO Contact (Name, Email, Phone) SELECT 'Ignacio Almagro','Ignacio.Almagro@bentley.com','19543439336' WHERE NOT EXISTS (SELECT Name FROM Contact WHERE Name = 'Ignacio Almagro');</v>
      </c>
      <c r="L16" t="str">
        <f>contactsSQL('Master Table'!L16)</f>
        <v>INSERT INTO Contact (Name, Email, Phone) SELECT 'Ignacio Almagro','Ignacio.Almagro@bentley.com','19543439336' WHERE NOT EXISTS (SELECT Name FROM Contact WHERE Name = 'Ignacio Almagro');</v>
      </c>
      <c r="M16" t="str">
        <f>contactsSQL('Master Table'!M16)</f>
        <v>INSERT INTO Contact (Name, Email, Phone) SELECT 'Chris Croucher','Chris.Croucher@bentley.com','16103214606' WHERE NOT EXISTS (SELECT Name FROM Contact WHERE Name = 'Chris Croucher');</v>
      </c>
      <c r="N16" t="str">
        <f>contactsSQL('Master Table'!N16)</f>
        <v>INSERT INTO Contact (Name, Email, Phone) SELECT 'Mohammed Alqaq','Mohammed.Alqaq@bentley.com','96265679300' WHERE NOT EXISTS (SELECT Name FROM Contact WHERE Name = 'Mohammed Alqaq');</v>
      </c>
      <c r="O16" t="str">
        <f>contactsSQL('Master Table'!O16)</f>
        <v>INSERT INTO Contact (Name, Email, Phone) SELECT 'Steve Brown','Steve.Brown@bentley.com','44' WHERE NOT EXISTS (SELECT Name FROM Contact WHERE Name = 'Steve Brown');</v>
      </c>
      <c r="P16" t="str">
        <f>contactsSQL('Master Table'!P16)</f>
        <v>INSERT INTO Contact (Name, Email, Phone) SELECT 'Ahmed Fahmy','Ahmed.Fahmy@bentley.com','16103216341' WHERE NOT EXISTS (SELECT Name FROM Contact WHERE Name = 'Ahmed Fahmy');</v>
      </c>
      <c r="Q16" t="str">
        <f>contactsSQL('Master Table'!Q16)</f>
        <v>INSERT INTO Contact (Name, Email, Phone) SELECT 'Kivanc Karakas','Kivanc.Karakas@bentley.com','442078610339' WHERE NOT EXISTS (SELECT Name FROM Contact WHERE Name = 'Kivanc Karakas');</v>
      </c>
      <c r="R16" t="str">
        <f>contactsSQL('Master Table'!R16)</f>
        <v>INSERT INTO Contact (Name, Email, Phone) SELECT 'Kivanc Karakas','Kivanc.Karakas@bentley.com','442078610339' WHERE NOT EXISTS (SELECT Name FROM Contact WHERE Name = 'Kivanc Karakas');</v>
      </c>
      <c r="S16" t="str">
        <f>contactsSQL('Master Table'!S16)</f>
        <v>INSERT INTO Contact (Name, Email, Phone) SELECT 'Kivanc Karakas','Kivanc.Karakas@bentley.com','442078610339' WHERE NOT EXISTS (SELECT Name FROM Contact WHERE Name = 'Kivanc Karakas');</v>
      </c>
      <c r="T16" t="str">
        <f>contactsSQL('Master Table'!T16)</f>
        <v>INSERT INTO Contact (Name, Email, Phone) SELECT 'Kivanc Karakas','Kivanc.Karakas@bentley.com','442078610339' WHERE NOT EXISTS (SELECT Name FROM Contact WHERE Name = 'Kivanc Karakas');</v>
      </c>
      <c r="U16" t="str">
        <f>contactsSQL('Master Table'!U16)</f>
        <v>INSERT INTO Contact (Name, Email, Phone) SELECT 'Kivanc Karakas','Kivanc.Karakas@bentley.com','442078610339' WHERE NOT EXISTS (SELECT Name FROM Contact WHERE Name = 'Kivanc Karakas');</v>
      </c>
      <c r="V16" t="str">
        <f>contactsSQL('Master Table'!V16)</f>
        <v>INSERT INTO Contact (Name, Email, Phone) SELECT 'Kevin McDonald','Kevin.McDonald@bentley.com','12569701123' WHERE NOT EXISTS (SELECT Name FROM Contact WHERE Name = 'Kevin McDonald');</v>
      </c>
      <c r="W16" t="str">
        <f>contactsSQL('Master Table'!W16)</f>
        <v>INSERT INTO Contact (Name, Email, Phone) SELECT 'Eva Cantarero','Eva.Cantarero@bentley.com','34913728975' WHERE NOT EXISTS (SELECT Name FROM Contact WHERE Name = 'Eva Cantarero');</v>
      </c>
      <c r="X16" t="str">
        <f>contactsSQL('Master Table'!X16)</f>
        <v>INSERT INTO Contact (Name, Email, Phone) SELECT 'Rahul Gurav','Rahul.Gurav@bentley.com','97143826022' WHERE NOT EXISTS (SELECT Name FROM Contact WHERE Name = 'Rahul Gurav');</v>
      </c>
      <c r="Y16" t="str">
        <f>contactsSQL('Master Table'!Y16)</f>
        <v>INSERT INTO Contact (Name, Email, Phone) SELECT 'Tim Lawrence','Tim.Lawrence@bentley.com','15873158588' WHERE NOT EXISTS (SELECT Name FROM Contact WHERE Name = 'Tim Lawrence');</v>
      </c>
      <c r="Z16" t="str">
        <f>contactsSQL('Master Table'!Z16)</f>
        <v>INSERT INTO Contact (Name, Email, Phone) SELECT 'Rahul Gurav','Rahul.Gurav@bentley.com','97143826022' WHERE NOT EXISTS (SELECT Name FROM Contact WHERE Name = 'Rahul Gurav');</v>
      </c>
      <c r="AA16" t="str">
        <f>contactsSQL('Master Table'!AA16)</f>
        <v>INSERT INTO Contact (Name, Email, Phone) SELECT 'Kamal Batcha','Kamal.Batcha@bentley.com','966138652393' WHERE NOT EXISTS (SELECT Name FROM Contact WHERE Name = 'Kamal Batcha');</v>
      </c>
      <c r="AB16" t="str">
        <f>contactsSQL('Master Table'!AB16)</f>
        <v>INSERT INTO Contact (Name, Email, Phone) SELECT 'Alain Beland','Alain.Beland@bentley.com','14188802022' WHERE NOT EXISTS (SELECT Name FROM Contact WHERE Name = 'Alain Beland');</v>
      </c>
      <c r="AC16" t="str">
        <f>contactsSQL('Master Table'!AC16)</f>
        <v>INSERT INTO Contact (Name, Email, Phone) SELECT 'Peter Alspaugh','Peter.Alspaugh@bentley.com','18322172816' WHERE NOT EXISTS (SELECT Name FROM Contact WHERE Name = 'Peter Alspaugh');</v>
      </c>
      <c r="AD16" t="str">
        <f>contactsSQL('Master Table'!AD16)</f>
        <v>INSERT INTO Contact (Name, Email, Phone) SELECT 'Kivanc Karakas','Kivanc.Karakas@bentley.com','442078610339' WHERE NOT EXISTS (SELECT Name FROM Contact WHERE Name = 'Kivanc Karakas');</v>
      </c>
      <c r="AE16" t="str">
        <f>contactsSQL('Master Table'!AE16)</f>
        <v>INSERT INTO Contact (Name, Email, Phone) SELECT 'Kivanc Karakas','Kivanc.Karakas@bentley.com','442078610339' WHERE NOT EXISTS (SELECT Name FROM Contact WHERE Name = 'Kivanc Karakas');</v>
      </c>
      <c r="AF16" t="str">
        <f>contactsSQL('Master Table'!AF16)</f>
        <v>INSERT INTO Contact (Name, Email, Phone) SELECT 'Kivanc Karakas','Kivanc.Karakas@bentley.com','442078610339' WHERE NOT EXISTS (SELECT Name FROM Contact WHERE Name = 'Kivanc Karakas');</v>
      </c>
      <c r="AG16" t="str">
        <f>contactsSQL('Master Table'!AG16)</f>
        <v>INSERT INTO Contact (Name, Email, Phone) SELECT 'Kivanc Karakas','Kivanc.Karakas@bentley.com','442078610339' WHERE NOT EXISTS (SELECT Name FROM Contact WHERE Name = 'Kivanc Karakas');</v>
      </c>
      <c r="AH16" t="str">
        <f>contactsSQL('Master Table'!AH16)</f>
        <v>INSERT INTO Contact (Name, Email, Phone) SELECT 'Adam Smith','Adam.Smith@bentley.com','' WHERE NOT EXISTS (SELECT Name FROM Contact WHERE Name = 'Adam Smith');</v>
      </c>
      <c r="AI16" t="str">
        <f>contactsSQL('Master Table'!AI16)</f>
        <v/>
      </c>
      <c r="AJ16" t="str">
        <f>contactsSQL('Master Table'!AJ16)</f>
        <v>INSERT INTO Contact (Name, Email, Phone) SELECT 'Ralph Schopen','Ralph.Schopen@bentley.com','491607056921' WHERE NOT EXISTS (SELECT Name FROM Contact WHERE Name = 'Ralph Schopen');</v>
      </c>
      <c r="AK16" t="str">
        <f>contactsSQL('Master Table'!AK16)</f>
        <v>INSERT INTO Contact (Name, Email, Phone) SELECT 'Harrie van Mullekom','Harrie.vanMullekom@bentley.com','31235560635' WHERE NOT EXISTS (SELECT Name FROM Contact WHERE Name = 'Harrie van Mullekom');</v>
      </c>
      <c r="AL16" t="str">
        <f>contactsSQL('Master Table'!AL16)</f>
        <v>INSERT INTO Contact (Name, Email, Phone) SELECT 'Linda Oliveira','Linda.Oliveira@bentley.com','16104586084' WHERE NOT EXISTS (SELECT Name FROM Contact WHERE Name = 'Linda Oliveira');</v>
      </c>
      <c r="AM16" t="str">
        <f>contactsSQL('Master Table'!AM16)</f>
        <v>INSERT INTO Contact (Name, Email, Phone) SELECT 'Johannes Klick','Johannes.Klick@bentley.com','4962012908161' WHERE NOT EXISTS (SELECT Name FROM Contact WHERE Name = 'Johannes Klick');</v>
      </c>
      <c r="AN16" t="str">
        <f>contactsSQL('Master Table'!AN16)</f>
        <v>INSERT INTO Contact (Name, Email, Phone) SELECT 'Lon Opp','Lon.Opp@bentley.com','12569701127' WHERE NOT EXISTS (SELECT Name FROM Contact WHERE Name = 'Lon Opp');</v>
      </c>
      <c r="AO16" t="str">
        <f>contactsSQL('Master Table'!AO16)</f>
        <v>INSERT INTO Contact (Name, Email, Phone) SELECT 'Clive Hackforth','Clive.Hackforth@bentley.com','442078610933' WHERE NOT EXISTS (SELECT Name FROM Contact WHERE Name = 'Clive Hackforth');</v>
      </c>
      <c r="AP16" t="str">
        <f>contactsSQL('Master Table'!AP16)</f>
        <v>INSERT INTO Contact (Name, Email, Phone) SELECT 'MSV Rao','MSV.Rao@bentley.com','919820223761' WHERE NOT EXISTS (SELECT Name FROM Contact WHERE Name = 'MSV Rao');</v>
      </c>
      <c r="AQ16" t="str">
        <f>contactsSQL('Master Table'!AQ16)</f>
        <v>INSERT INTO Contact (Name, Email, Phone) SELECT 'Joanna Slowinska','Joanna.Slowinska@bentley.com','442078610317' WHERE NOT EXISTS (SELECT Name FROM Contact WHERE Name = 'Joanna Slowinska');</v>
      </c>
      <c r="AR16" t="str">
        <f>contactsSQL('Master Table'!AR16)</f>
        <v>INSERT INTO Contact (Name, Email, Phone) SELECT 'Richard Ellis','Richard.Ellis@bentley.com','6421611832' WHERE NOT EXISTS (SELECT Name FROM Contact WHERE Name = 'Richard Ellis');</v>
      </c>
      <c r="AS16" t="str">
        <f>contactsSQL('Master Table'!AS16)</f>
        <v>INSERT INTO Contact (Name, Email, Phone) SELECT 'Neil Pickin','Neil.Pickin@bentley.com','441619731462' WHERE NOT EXISTS (SELECT Name FROM Contact WHERE Name = 'Neil Pickin');</v>
      </c>
      <c r="AT16" t="str">
        <f>contactsSQL('Master Table'!AT16)</f>
        <v>INSERT INTO Contact (Name, Email, Phone) SELECT 'Mark Mazzeo','Mark.Mazzeo@bentley.com','14122303034' WHERE NOT EXISTS (SELECT Name FROM Contact WHERE Name = 'Mark Mazzeo');</v>
      </c>
      <c r="AU16" t="str">
        <f>contactsSQL('Master Table'!AU16)</f>
        <v>INSERT INTO Contact (Name, Email, Phone) SELECT 'Paul Johnson','Paul.Johnson@bentley.com','16104583191' WHERE NOT EXISTS (SELECT Name FROM Contact WHERE Name = 'Paul Johnson');</v>
      </c>
      <c r="AV16" t="str">
        <f>contactsSQL('Master Table'!AV16)</f>
        <v>INSERT INTO Contact (Name, Email, Phone) SELECT 'Arturas Zidonis','Arturas.Zidonis@bentley.com','37052507277' WHERE NOT EXISTS (SELECT Name FROM Contact WHERE Name = 'Arturas Zidonis');</v>
      </c>
      <c r="AW16" t="str">
        <f>contactsSQL('Master Table'!AW16)</f>
        <v>INSERT INTO Contact (Name, Email, Phone) SELECT 'Justinas Verbickas','Justinas.Verbickas@bentley.com','37052503337' WHERE NOT EXISTS (SELECT Name FROM Contact WHERE Name = 'Justinas Verbickas');</v>
      </c>
      <c r="AX16" t="str">
        <f>contactsSQL('Master Table'!AX16)</f>
        <v>INSERT INTO Contact (Name, Email, Phone) SELECT 'Arturas Zidonis','Arturas.Zidonis@bentley.com','37052507277' WHERE NOT EXISTS (SELECT Name FROM Contact WHERE Name = 'Arturas Zidonis');</v>
      </c>
      <c r="AY16" t="str">
        <f>contactsSQL('Master Table'!AY16)</f>
        <v>INSERT INTO Contact (Name, Email, Phone) SELECT 'Amol Sonawane','Amol.Sonawane@bentley.com','912066021201' WHERE NOT EXISTS (SELECT Name FROM Contact WHERE Name = 'Amol Sonawane');</v>
      </c>
      <c r="AZ16" t="str">
        <f>contactsSQL('Master Table'!AZ16)</f>
        <v>INSERT INTO Contact (Name, Email, Phone) SELECT 'Arturas Zidonis','Arturas.Zidonis@bentley.com','37052507277' WHERE NOT EXISTS (SELECT Name FROM Contact WHERE Name = 'Arturas Zidonis');</v>
      </c>
      <c r="BA16" t="str">
        <f>contactsSQL('Master Table'!BA16)</f>
        <v>INSERT INTO Contact (Name, Email, Phone) SELECT 'Justinas Verbickas','Justinas.Verbickas@bentley.com','37052503337' WHERE NOT EXISTS (SELECT Name FROM Contact WHERE Name = 'Justinas Verbickas');</v>
      </c>
      <c r="BB16" t="str">
        <f>contactsSQL('Master Table'!BB16)</f>
        <v>INSERT INTO Contact (Name, Email, Phone) SELECT 'Justinas Verbickas','Justinas.Verbickas@bentley.com','37052503337' WHERE NOT EXISTS (SELECT Name FROM Contact WHERE Name = 'Justinas Verbickas');</v>
      </c>
      <c r="BC16" t="str">
        <f>contactsSQL('Master Table'!BC16)</f>
        <v>INSERT INTO Contact (Name, Email, Phone) SELECT 'Justinas Verbickas','Justinas.Verbickas@bentley.com','37052503337' WHERE NOT EXISTS (SELECT Name FROM Contact WHERE Name = 'Justinas Verbickas');</v>
      </c>
      <c r="BD16" t="str">
        <f>contactsSQL('Master Table'!BD16)</f>
        <v>INSERT INTO Contact (Name, Email, Phone) SELECT 'Paul Johnson','Paul.Johnson@bentley.com','16104583191' WHERE NOT EXISTS (SELECT Name FROM Contact WHERE Name = 'Paul Johnson');</v>
      </c>
      <c r="BE16" t="str">
        <f>contactsSQL('Master Table'!BE16)</f>
        <v>INSERT INTO Contact (Name, Email, Phone) SELECT 'Paul Johnson','Paul.Johnson@bentley.com','16104583191' WHERE NOT EXISTS (SELECT Name FROM Contact WHERE Name = 'Paul Johnson');</v>
      </c>
      <c r="BF16" t="str">
        <f>contactsSQL('Master Table'!BF16)</f>
        <v>INSERT INTO Contact (Name, Email, Phone) SELECT 'Matt Starke','Matt.Starke@bentley.com','15102502118' WHERE NOT EXISTS (SELECT Name FROM Contact WHERE Name = 'Matt Starke');</v>
      </c>
      <c r="BG16" t="str">
        <f>contactsSQL('Master Table'!BG16)</f>
        <v>INSERT INTO Contact (Name, Email, Phone) SELECT 'Arturas Baranauskas','Arturas.Baranauskas@bentley.com','37052507280' WHERE NOT EXISTS (SELECT Name FROM Contact WHERE Name = 'Arturas Baranauskas');</v>
      </c>
      <c r="BH16" t="str">
        <f>contactsSQL('Master Table'!BH16)</f>
        <v>INSERT INTO Contact (Name, Email, Phone) SELECT 'Amol Sonawane','Amol.Sonawane@bentley.com','912066021201' WHERE NOT EXISTS (SELECT Name FROM Contact WHERE Name = 'Amol Sonawane');</v>
      </c>
      <c r="BI16" t="str">
        <f>contactsSQL('Master Table'!BI16)</f>
        <v>INSERT INTO Contact (Name, Email, Phone) SELECT 'Justinas Verbickas','Justinas.Verbickas@bentley.com','37052503337' WHERE NOT EXISTS (SELECT Name FROM Contact WHERE Name = 'Justinas Verbickas');</v>
      </c>
      <c r="BJ16" t="str">
        <f>contactsSQL('Master Table'!BJ16)</f>
        <v>INSERT INTO Contact (Name, Email, Phone) SELECT 'Amol Sonawane','Amol.Sonawane@bentley.com','912066021201' WHERE NOT EXISTS (SELECT Name FROM Contact WHERE Name = 'Amol Sonawane');</v>
      </c>
      <c r="BK16" t="str">
        <f>contactsSQL('Master Table'!BK16)</f>
        <v>INSERT INTO Contact (Name, Email, Phone) SELECT 'Evert de Jong','Evert.deJong@bentley.com','31235560545' WHERE NOT EXISTS (SELECT Name FROM Contact WHERE Name = 'Evert de Jong');</v>
      </c>
      <c r="BL16" t="str">
        <f>contactsSQL('Master Table'!BL16)</f>
        <v>INSERT INTO Contact (Name, Email, Phone) SELECT 'Evert de Jong','Evert.deJong@bentley.com','31235560545' WHERE NOT EXISTS (SELECT Name FROM Contact WHERE Name = 'Evert de Jong');</v>
      </c>
    </row>
    <row r="17" spans="3:64" x14ac:dyDescent="0.25">
      <c r="C17" t="str">
        <f>contactsSQL('Master Table'!C17)</f>
        <v>INSERT INTO Contact (Name, Email, Phone) SELECT 'David McGovern','David.McGovern@bentley.com','35314364609' WHERE NOT EXISTS (SELECT Name FROM Contact WHERE Name = 'David McGovern');</v>
      </c>
      <c r="D17" t="str">
        <f>contactsSQL('Master Table'!D17)</f>
        <v>INSERT INTO Contact (Name, Email, Phone) SELECT 'David McGovern','David.McGovern@bentley.com','35314364609' WHERE NOT EXISTS (SELECT Name FROM Contact WHERE Name = 'David McGovern');</v>
      </c>
      <c r="E17" t="str">
        <f>contactsSQL('Master Table'!E17)</f>
        <v>INSERT INTO Contact (Name, Email, Phone) SELECT 'David McGovern','David.McGovern@bentley.com','35314364609' WHERE NOT EXISTS (SELECT Name FROM Contact WHERE Name = 'David McGovern');</v>
      </c>
      <c r="F17" t="str">
        <f>contactsSQL('Master Table'!F17)</f>
        <v>INSERT INTO Contact (Name, Email, Phone) SELECT 'David McGovern','David.McGovern@bentley.com','35314364609' WHERE NOT EXISTS (SELECT Name FROM Contact WHERE Name = 'David McGovern');</v>
      </c>
      <c r="G17" t="str">
        <f>contactsSQL('Master Table'!G17)</f>
        <v>INSERT INTO Contact (Name, Email, Phone) SELECT 'David McGovern','David.McGovern@bentley.com','35314364609' WHERE NOT EXISTS (SELECT Name FROM Contact WHERE Name = 'David McGovern');</v>
      </c>
      <c r="H17" t="str">
        <f>contactsSQL('Master Table'!H17)</f>
        <v>INSERT INTO Contact (Name, Email, Phone) SELECT 'David McGovern','David.McGovern@bentley.com','35314364609' WHERE NOT EXISTS (SELECT Name FROM Contact WHERE Name = 'David McGovern');</v>
      </c>
      <c r="I17" t="str">
        <f>contactsSQL('Master Table'!I17)</f>
        <v/>
      </c>
      <c r="J17" t="str">
        <f>contactsSQL('Master Table'!J17)</f>
        <v/>
      </c>
      <c r="K17" t="str">
        <f>contactsSQL('Master Table'!K17)</f>
        <v/>
      </c>
      <c r="L17" t="str">
        <f>contactsSQL('Master Table'!L17)</f>
        <v/>
      </c>
      <c r="M17" t="str">
        <f>contactsSQL('Master Table'!M17)</f>
        <v>INSERT INTO Contact (Name, Email, Phone) SELECT 'David McGovern','David.McGovern@bentley.com','35314364609' WHERE NOT EXISTS (SELECT Name FROM Contact WHERE Name = 'David McGovern');</v>
      </c>
      <c r="N17" t="str">
        <f>contactsSQL('Master Table'!N17)</f>
        <v>INSERT INTO Contact (Name, Email, Phone) SELECT 'Robert Wasson','Robert.Wasson@bentley.com','35314363544' WHERE NOT EXISTS (SELECT Name FROM Contact WHERE Name = 'Robert Wasson');</v>
      </c>
      <c r="O17" t="str">
        <f>contactsSQL('Master Table'!O17)</f>
        <v>INSERT INTO Contact (Name, Email, Phone) SELECT 'Robert Wasson','Robert.Wasson@bentley.com','35314363544' WHERE NOT EXISTS (SELECT Name FROM Contact WHERE Name = 'Robert Wasson');</v>
      </c>
      <c r="P17" t="str">
        <f>contactsSQL('Master Table'!P17)</f>
        <v>INSERT INTO Contact (Name, Email, Phone) SELECT 'Robert Wasson','Robert.Wasson@bentley.com','35314363544' WHERE NOT EXISTS (SELECT Name FROM Contact WHERE Name = 'Robert Wasson');</v>
      </c>
      <c r="Q17" t="str">
        <f>contactsSQL('Master Table'!Q17)</f>
        <v>INSERT INTO Contact (Name, Email, Phone) SELECT 'Rick Black','Rick.Black@bentley.com','442078610924' WHERE NOT EXISTS (SELECT Name FROM Contact WHERE Name = 'Rick Black');</v>
      </c>
      <c r="R17" t="str">
        <f>contactsSQL('Master Table'!R17)</f>
        <v>INSERT INTO Contact (Name, Email, Phone) SELECT 'Scott Ryan','Scott.Ryan@bentley.com','35314363569' WHERE NOT EXISTS (SELECT Name FROM Contact WHERE Name = 'Scott Ryan');</v>
      </c>
      <c r="S17" t="str">
        <f>contactsSQL('Master Table'!S17)</f>
        <v>INSERT INTO Contact (Name, Email, Phone) SELECT 'Scott Ryan','Scott.Ryan@bentley.com','35314363569' WHERE NOT EXISTS (SELECT Name FROM Contact WHERE Name = 'Scott Ryan');</v>
      </c>
      <c r="T17" t="str">
        <f>contactsSQL('Master Table'!T17)</f>
        <v>INSERT INTO Contact (Name, Email, Phone) SELECT 'Scott Ryan','Scott.Ryan@bentley.com','35314363569' WHERE NOT EXISTS (SELECT Name FROM Contact WHERE Name = 'Scott Ryan');</v>
      </c>
      <c r="U17" t="str">
        <f>contactsSQL('Master Table'!U17)</f>
        <v>INSERT INTO Contact (Name, Email, Phone) SELECT 'Scott Ryan','Scott.Ryan@bentley.com','35314363569' WHERE NOT EXISTS (SELECT Name FROM Contact WHERE Name = 'Scott Ryan');</v>
      </c>
      <c r="V17" t="str">
        <f>contactsSQL('Master Table'!V17)</f>
        <v>INSERT INTO Contact (Name, Email, Phone) SELECT 'Scott Ryan','Scott.Ryan@bentley.com','35314363569' WHERE NOT EXISTS (SELECT Name FROM Contact WHERE Name = 'Scott Ryan');</v>
      </c>
      <c r="W17" t="str">
        <f>contactsSQL('Master Table'!W17)</f>
        <v>INSERT INTO Contact (Name, Email, Phone) SELECT 'Scott Ryan','Scott.Ryan@bentley.com','35314363569' WHERE NOT EXISTS (SELECT Name FROM Contact WHERE Name = 'Scott Ryan');</v>
      </c>
      <c r="X17" t="str">
        <f>contactsSQL('Master Table'!X17)</f>
        <v>INSERT INTO Contact (Name, Email, Phone) SELECT 'Michael Curran','Michael.Curran@bentley.com','35314363563' WHERE NOT EXISTS (SELECT Name FROM Contact WHERE Name = 'Michael Curran');</v>
      </c>
      <c r="Y17" t="str">
        <f>contactsSQL('Master Table'!Y17)</f>
        <v>INSERT INTO Contact (Name, Email, Phone) SELECT 'Michael Curran','Michael.Curran@bentley.com','35314363563' WHERE NOT EXISTS (SELECT Name FROM Contact WHERE Name = 'Michael Curran');</v>
      </c>
      <c r="Z17" t="str">
        <f>contactsSQL('Master Table'!Z17)</f>
        <v>INSERT INTO Contact (Name, Email, Phone) SELECT 'Michael Curran','Michael.Curran@bentley.com','35314363563' WHERE NOT EXISTS (SELECT Name FROM Contact WHERE Name = 'Michael Curran');</v>
      </c>
      <c r="AA17" t="str">
        <f>contactsSQL('Master Table'!AA17)</f>
        <v>INSERT INTO Contact (Name, Email, Phone) SELECT 'Michael Curran','Michael.Curran@bentley.com','35314363563' WHERE NOT EXISTS (SELECT Name FROM Contact WHERE Name = 'Michael Curran');</v>
      </c>
      <c r="AB17" t="str">
        <f>contactsSQL('Master Table'!AB17)</f>
        <v>INSERT INTO Contact (Name, Email, Phone) SELECT 'Craven Naidoo','Craven.Naidoo@bentley.com','27112533018' WHERE NOT EXISTS (SELECT Name FROM Contact WHERE Name = 'Craven Naidoo');</v>
      </c>
      <c r="AC17" t="str">
        <f>contactsSQL('Master Table'!AC17)</f>
        <v>INSERT INTO Contact (Name, Email, Phone) SELECT 'Michael Curran','Michael.Curran@bentley.com','35314363563' WHERE NOT EXISTS (SELECT Name FROM Contact WHERE Name = 'Michael Curran');</v>
      </c>
      <c r="AD17" t="str">
        <f>contactsSQL('Master Table'!AD17)</f>
        <v>INSERT INTO Contact (Name, Email, Phone) SELECT 'Mourad Labguira','Mourad.Labguira@bentley.com','442078617872' WHERE NOT EXISTS (SELECT Name FROM Contact WHERE Name = 'Mourad Labguira');</v>
      </c>
      <c r="AE17" t="str">
        <f>contactsSQL('Master Table'!AE17)</f>
        <v>INSERT INTO Contact (Name, Email, Phone) SELECT 'Erwin Van Meurs','Erwin.VanMeurs@bentley.com','35314364602' WHERE NOT EXISTS (SELECT Name FROM Contact WHERE Name = 'Erwin Van Meurs');</v>
      </c>
      <c r="AF17" t="str">
        <f>contactsSQL('Master Table'!AF17)</f>
        <v>INSERT INTO Contact (Name, Email, Phone) SELECT 'Mourad Labguira','Mourad.Labguira@bentley.com','442078617872' WHERE NOT EXISTS (SELECT Name FROM Contact WHERE Name = 'Mourad Labguira');</v>
      </c>
      <c r="AG17" t="str">
        <f>contactsSQL('Master Table'!AG17)</f>
        <v>INSERT INTO Contact (Name, Email, Phone) SELECT 'Mourad Labguira','Mourad.Labguira@bentley.com','442078617872' WHERE NOT EXISTS (SELECT Name FROM Contact WHERE Name = 'Mourad Labguira');</v>
      </c>
      <c r="AH17" t="str">
        <f>contactsSQL('Master Table'!AH17)</f>
        <v>INSERT INTO Contact (Name, Email, Phone) SELECT 'Robert Wasson','Robert.Wasson@bentley.com','35314363544' WHERE NOT EXISTS (SELECT Name FROM Contact WHERE Name = 'Robert Wasson');</v>
      </c>
      <c r="AI17" t="str">
        <f>contactsSQL('Master Table'!AI17)</f>
        <v>INSERT INTO Contact (Name, Email, Phone) SELECT 'Rick Black','Rick.Black@bentley.com','442078610924' WHERE NOT EXISTS (SELECT Name FROM Contact WHERE Name = 'Rick Black');</v>
      </c>
      <c r="AJ17" t="str">
        <f>contactsSQL('Master Table'!AJ17)</f>
        <v>INSERT INTO Contact (Name, Email, Phone) SELECT 'Andrew Rhodes','Andrew.Rhodes@bentley.com','441784426602' WHERE NOT EXISTS (SELECT Name FROM Contact WHERE Name = 'Andrew Rhodes');</v>
      </c>
      <c r="AK17" t="str">
        <f>contactsSQL('Master Table'!AK17)</f>
        <v>INSERT INTO Contact (Name, Email, Phone) SELECT 'David Smith','David.Smith@bentley.com','441349865554' WHERE NOT EXISTS (SELECT Name FROM Contact WHERE Name = 'David Smith');</v>
      </c>
      <c r="AL17" t="str">
        <f>contactsSQL('Master Table'!AL17)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M17" t="str">
        <f>contactsSQL('Master Table'!AM17)</f>
        <v>INSERT INTO Contact (Name, Email, Phone) SELECT 'Darja Kalau','darja.kalau@bentley.com','35314363522' WHERE NOT EXISTS (SELECT Name FROM Contact WHERE Name = 'Darja Kalau');</v>
      </c>
      <c r="AN17" t="str">
        <f>contactsSQL('Master Table'!AN17)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O17" t="str">
        <f>contactsSQL('Master Table'!AO17)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17" t="str">
        <f>contactsSQL('Master Table'!AP17)</f>
        <v>INSERT INTO Contact (Name, Email, Phone) SELECT 'Slavco Velichkov','Slavco.Velickov@bentley.com','' WHERE NOT EXISTS (SELECT Name FROM Contact WHERE Name = 'Slavco Velichkov');</v>
      </c>
      <c r="AQ17" t="str">
        <f>contactsSQL('Master Table'!AQ17)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17" t="str">
        <f>contactsSQL('Master Table'!AR17)</f>
        <v>INSERT INTO Contact (Name, Email, Phone) SELECT 'Dan Vogen','Dan.Vogen@bentley.com','16309816500' WHERE NOT EXISTS (SELECT Name FROM Contact WHERE Name = 'Dan Vogen');</v>
      </c>
      <c r="AS17" t="str">
        <f>contactsSQL('Master Table'!AS17)</f>
        <v>INSERT INTO Contact (Name, Email, Phone) SELECT 'David Smith','David.Smith@bentley.com','441349865554' WHERE NOT EXISTS (SELECT Name FROM Contact WHERE Name = 'David Smith');</v>
      </c>
      <c r="AT17" t="str">
        <f>contactsSQL('Master Table'!AT17)</f>
        <v>INSERT INTO Contact (Name, Email, Phone) SELECT 'Ben Witter','Ben.Witter@bentley.com','12676642491' WHERE NOT EXISTS (SELECT Name FROM Contact WHERE Name = 'Ben Witter');</v>
      </c>
      <c r="AU17" t="str">
        <f>contactsSQL('Master Table'!AU17)</f>
        <v>INSERT INTO Contact (Name, Email, Phone) SELECT 'Eric Crivella','Eric.Crivella@bentley.com','18322172802' WHERE NOT EXISTS (SELECT Name FROM Contact WHERE Name = 'Eric Crivella');</v>
      </c>
      <c r="AV17" t="str">
        <f>contactsSQL('Master Table'!AV17)</f>
        <v>INSERT INTO Contact (Name, Email, Phone) SELECT 'Stefan Sigvardsson','Stefan.Sigvardsson@bentley.com','46313378732' WHERE NOT EXISTS (SELECT Name FROM Contact WHERE Name = 'Stefan Sigvardsson');</v>
      </c>
      <c r="AW17" t="str">
        <f>contactsSQL('Master Table'!AW17)</f>
        <v>INSERT INTO Contact (Name, Email, Phone) SELECT 'Stefan Sigvardsson','Stefan.Sigvardsson@bentley.com','46313378732' WHERE NOT EXISTS (SELECT Name FROM Contact WHERE Name = 'Stefan Sigvardsson');</v>
      </c>
      <c r="AX17" t="str">
        <f>contactsSQL('Master Table'!AX17)</f>
        <v>INSERT INTO Contact (Name, Email, Phone) SELECT 'Stefan Sigvardsson','Stefan.Sigvardsson@bentley.com','46313378732' WHERE NOT EXISTS (SELECT Name FROM Contact WHERE Name = 'Stefan Sigvardsson');</v>
      </c>
      <c r="AY17" t="str">
        <f>contactsSQL('Master Table'!AY17)</f>
        <v>INSERT INTO Contact (Name, Email, Phone) SELECT 'Stefan Sigvardsson','Stefan.Sigvardsson@bentley.com','46313378732' WHERE NOT EXISTS (SELECT Name FROM Contact WHERE Name = 'Stefan Sigvardsson');</v>
      </c>
      <c r="AZ17" t="str">
        <f>contactsSQL('Master Table'!AZ17)</f>
        <v>INSERT INTO Contact (Name, Email, Phone) SELECT 'Stefan Sigvardsson','Stefan.Sigvardsson@bentley.com','46313378732' WHERE NOT EXISTS (SELECT Name FROM Contact WHERE Name = 'Stefan Sigvardsson');</v>
      </c>
      <c r="BA17" t="str">
        <f>contactsSQL('Master Table'!BA17)</f>
        <v>INSERT INTO Contact (Name, Email, Phone) SELECT 'Stefan Sigvardsson','Stefan.Sigvardsson@bentley.com','46313378732' WHERE NOT EXISTS (SELECT Name FROM Contact WHERE Name = 'Stefan Sigvardsson');</v>
      </c>
      <c r="BB17" t="str">
        <f>contactsSQL('Master Table'!BB17)</f>
        <v>INSERT INTO Contact (Name, Email, Phone) SELECT 'Stefan Sigvardsson','Stefan.Sigvardsson@bentley.com','46313378732' WHERE NOT EXISTS (SELECT Name FROM Contact WHERE Name = 'Stefan Sigvardsson');</v>
      </c>
      <c r="BC17" t="str">
        <f>contactsSQL('Master Table'!BC17)</f>
        <v>INSERT INTO Contact (Name, Email, Phone) SELECT 'Stefan Sigvardsson','Stefan.Sigvardsson@bentley.com','46313378732' WHERE NOT EXISTS (SELECT Name FROM Contact WHERE Name = 'Stefan Sigvardsson');</v>
      </c>
      <c r="BD17" t="str">
        <f>contactsSQL('Master Table'!BD17)</f>
        <v>INSERT INTO Contact (Name, Email, Phone) SELECT 'Rocco Masiello','Rocco.Masiello@bentley.com','35314364621' WHERE NOT EXISTS (SELECT Name FROM Contact WHERE Name = 'Rocco Masiello');</v>
      </c>
      <c r="BE17" t="str">
        <f>contactsSQL('Master Table'!BE17)</f>
        <v>INSERT INTO Contact (Name, Email, Phone) SELECT 'Eric Crivella','Eric.Crivella@bentley.com','18322172802' WHERE NOT EXISTS (SELECT Name FROM Contact WHERE Name = 'Eric Crivella');</v>
      </c>
      <c r="BF17" t="str">
        <f>contactsSQL('Master Table'!BF17)</f>
        <v/>
      </c>
      <c r="BG17" t="str">
        <f>contactsSQL('Master Table'!BG17)</f>
        <v>INSERT INTO Contact (Name, Email, Phone) SELECT 'Stefan Sigvardsson','Stefan.Sigvardsson@bentley.com','46313378732' WHERE NOT EXISTS (SELECT Name FROM Contact WHERE Name = 'Stefan Sigvardsson');</v>
      </c>
      <c r="BH17" t="str">
        <f>contactsSQL('Master Table'!BH17)</f>
        <v>INSERT INTO Contact (Name, Email, Phone) SELECT 'Stefan Sigvardsson','Stefan.Sigvardsson@bentley.com','46313378732' WHERE NOT EXISTS (SELECT Name FROM Contact WHERE Name = 'Stefan Sigvardsson');</v>
      </c>
      <c r="BI17" t="str">
        <f>contactsSQL('Master Table'!BI17)</f>
        <v>INSERT INTO Contact (Name, Email, Phone) SELECT 'Stefan Sigvardsson','Stefan.Sigvardsson@bentley.com','46313378732' WHERE NOT EXISTS (SELECT Name FROM Contact WHERE Name = 'Stefan Sigvardsson');</v>
      </c>
      <c r="BJ17" t="str">
        <f>contactsSQL('Master Table'!BJ17)</f>
        <v>INSERT INTO Contact (Name, Email, Phone) SELECT 'Stefan Sigvardsson','Stefan.Sigvardsson@bentley.com','46313378732' WHERE NOT EXISTS (SELECT Name FROM Contact WHERE Name = 'Stefan Sigvardsson');</v>
      </c>
      <c r="BK17" t="str">
        <f>contactsSQL('Master Table'!BK17)</f>
        <v>INSERT INTO Contact (Name, Email, Phone) SELECT 'Stefan Sigvardsson','Stefan.Sigvardsson@bentley.com','46313378732' WHERE NOT EXISTS (SELECT Name FROM Contact WHERE Name = 'Stefan Sigvardsson');</v>
      </c>
      <c r="BL17" t="str">
        <f>contactsSQL('Master Table'!BL17)</f>
        <v>INSERT INTO Contact (Name, Email, Phone) SELECT 'Stefan Sigvardsson','Stefan.Sigvardsson@bentley.com','46313378732' WHERE NOT EXISTS (SELECT Name FROM Contact WHERE Name = 'Stefan Sigvardsson');</v>
      </c>
    </row>
    <row r="18" spans="3:64" x14ac:dyDescent="0.25">
      <c r="C18" t="str">
        <f>contactsSQL('Master Table'!C18)</f>
        <v>INSERT INTO Contact (Name, Email, Phone) SELECT 'Carlos Aguera','Carlos.Aguera@bentley.com','442078610973' WHERE NOT EXISTS (SELECT Name FROM Contact WHERE Name = 'Carlos Aguera');</v>
      </c>
      <c r="D18" t="str">
        <f>contactsSQL('Master Table'!D18)</f>
        <v>INSERT INTO Contact (Name, Email, Phone) SELECT 'Allen Adams','Allen.Adams@bentley.com','17604313610' WHERE NOT EXISTS (SELECT Name FROM Contact WHERE Name = 'Allen Adams');</v>
      </c>
      <c r="E18" t="str">
        <f>contactsSQL('Master Table'!E18)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18" t="str">
        <f>contactsSQL('Master Table'!F18)</f>
        <v>INSERT INTO Contact (Name, Email, Phone) SELECT 'Parvinder Jhita','Parvinder.Jhita@bentley.com','15043025180' WHERE NOT EXISTS (SELECT Name FROM Contact WHERE Name = 'Parvinder Jhita');</v>
      </c>
      <c r="G18" t="str">
        <f>contactsSQL('Master Table'!G18)</f>
        <v>INSERT INTO Contact (Name, Email, Phone) SELECT 'Pat Couser','Pat.Couser@bentley.com','' WHERE NOT EXISTS (SELECT Name FROM Contact WHERE Name = 'Pat Couser');</v>
      </c>
      <c r="H18" t="str">
        <f>contactsSQL('Master Table'!H18)</f>
        <v>INSERT INTO Contact (Name, Email, Phone) SELECT 'Georgina Maldonado','Georgina.Maldonado@bentley.com','17133608369' WHERE NOT EXISTS (SELECT Name FROM Contact WHERE Name = 'Georgina Maldonado');</v>
      </c>
      <c r="I18" t="str">
        <f>contactsSQL('Master Table'!I18)</f>
        <v>INSERT INTO Contact (Name, Email, Phone) SELECT 'Gregor Strekelj','Gregor.Strekelj@bentley.com','4331682153165' WHERE NOT EXISTS (SELECT Name FROM Contact WHERE Name = 'Gregor Strekelj');</v>
      </c>
      <c r="J18" t="str">
        <f>contactsSQL('Master Table'!J18)</f>
        <v>INSERT INTO Contact (Name, Email, Phone) SELECT 'Xin Luo','Xin.Luo@bentley.com','19543439359' WHERE NOT EXISTS (SELECT Name FROM Contact WHERE Name = 'Xin Luo');</v>
      </c>
      <c r="K18" t="str">
        <f>contactsSQL('Master Table'!K18)</f>
        <v>INSERT INTO Contact (Name, Email, Phone) SELECT 'Sri Kanneganti','Sri.Kanneganti@bentley.com','19543439325' WHERE NOT EXISTS (SELECT Name FROM Contact WHERE Name = 'Sri Kanneganti');</v>
      </c>
      <c r="L18" t="str">
        <f>contactsSQL('Master Table'!L18)</f>
        <v>INSERT INTO Contact (Name, Email, Phone) SELECT 'Bill Beyer','Bill.Beyer@bentley.com','18166667568' WHERE NOT EXISTS (SELECT Name FROM Contact WHERE Name = 'Bill Beyer');</v>
      </c>
      <c r="M18" t="str">
        <f>contactsSQL('Master Table'!M18)</f>
        <v>INSERT INTO Contact (Name, Email, Phone) SELECT 'David Settlemeyer','David.Settlemyer@bentley.com','16103214610' WHERE NOT EXISTS (SELECT Name FROM Contact WHERE Name = 'David Settlemeyer');</v>
      </c>
      <c r="N18" t="str">
        <f>contactsSQL('Master Table'!N18)</f>
        <v>INSERT INTO Contact (Name, Email, Phone) SELECT 'Andy Smith','Andy.Smith@bentley.com','7046630319' WHERE NOT EXISTS (SELECT Name FROM Contact WHERE Name = 'Andy Smith');</v>
      </c>
      <c r="O18" t="str">
        <f>contactsSQL('Master Table'!O18)</f>
        <v>INSERT INTO Contact (Name, Email, Phone) SELECT 'Andy Smith','Andy.Smith@bentley.com','7046630319' WHERE NOT EXISTS (SELECT Name FROM Contact WHERE Name = 'Andy Smith');</v>
      </c>
      <c r="P18" t="str">
        <f>contactsSQL('Master Table'!P18)</f>
        <v>INSERT INTO Contact (Name, Email, Phone) SELECT 'Paul Demetriou','Paul.Demetriou@bentley.com','12088879204' WHERE NOT EXISTS (SELECT Name FROM Contact WHERE Name = 'Paul Demetriou');</v>
      </c>
      <c r="Q18" t="str">
        <f>contactsSQL('Master Table'!Q18)</f>
        <v>INSERT INTO Contact (Name, Email, Phone) SELECT 'Ian Rosam','Ian.Rosam@bentley.com','442078610313' WHERE NOT EXISTS (SELECT Name FROM Contact WHERE Name = 'Ian Rosam');</v>
      </c>
      <c r="R18" t="str">
        <f>contactsSQL('Master Table'!R18)</f>
        <v>INSERT INTO Contact (Name, Email, Phone) SELECT 'Ian Rosam','Ian.Rosam@bentley.com','442078610313' WHERE NOT EXISTS (SELECT Name FROM Contact WHERE Name = 'Ian Rosam');</v>
      </c>
      <c r="S18" t="str">
        <f>contactsSQL('Master Table'!S18)</f>
        <v>INSERT INTO Contact (Name, Email, Phone) SELECT 'Ian Rosam','Ian.Rosam@bentley.com','442078610313' WHERE NOT EXISTS (SELECT Name FROM Contact WHERE Name = 'Ian Rosam');</v>
      </c>
      <c r="T18" t="str">
        <f>contactsSQL('Master Table'!T18)</f>
        <v>INSERT INTO Contact (Name, Email, Phone) SELECT 'Kivanc Karakas','Kivanc.Karakas@bentley.com','442078610339' WHERE NOT EXISTS (SELECT Name FROM Contact WHERE Name = 'Kivanc Karakas');</v>
      </c>
      <c r="U18" t="str">
        <f>contactsSQL('Master Table'!U18)</f>
        <v>INSERT INTO Contact (Name, Email, Phone) SELECT 'Ian Rosam','Ian.Rosam@bentley.com','442078610313' WHERE NOT EXISTS (SELECT Name FROM Contact WHERE Name = 'Ian Rosam');</v>
      </c>
      <c r="V18" t="str">
        <f>contactsSQL('Master Table'!V18)</f>
        <v>INSERT INTO Contact (Name, Email, Phone) SELECT 'Francois Valois','Francois.Valois@bentley.com','15817817522' WHERE NOT EXISTS (SELECT Name FROM Contact WHERE Name = 'Francois Valois');</v>
      </c>
      <c r="W18" t="str">
        <f>contactsSQL('Master Table'!W18)</f>
        <v>INSERT INTO Contact (Name, Email, Phone) SELECT 'Nicolas Loubier','Nicolas.Loubier@bentley.com','15817817567' WHERE NOT EXISTS (SELECT Name FROM Contact WHERE Name = 'Nicolas Loubier');</v>
      </c>
      <c r="X18" t="str">
        <f>contactsSQL('Master Table'!X18)</f>
        <v>INSERT INTO Contact (Name, Email, Phone) SELECT 'Adnan Ulhaq','Adnan.Ulhaq@bentley.com','92512078422' WHERE NOT EXISTS (SELECT Name FROM Contact WHERE Name = 'Adnan Ulhaq');</v>
      </c>
      <c r="Y18" t="str">
        <f>contactsSQL('Master Table'!Y18)</f>
        <v>INSERT INTO Contact (Name, Email, Phone) SELECT 'Tim Lawrence','Tim.Lawrence@bentley.com','15873158588' WHERE NOT EXISTS (SELECT Name FROM Contact WHERE Name = 'Tim Lawrence');</v>
      </c>
      <c r="Z18" t="str">
        <f>contactsSQL('Master Table'!Z18)</f>
        <v>INSERT INTO Contact (Name, Email, Phone) SELECT 'Abbas Ali','','16104583160' WHERE NOT EXISTS (SELECT Name FROM Contact WHERE Name = 'Abbas Ali');</v>
      </c>
      <c r="AA18" t="str">
        <f>contactsSQL('Master Table'!AA18)</f>
        <v>INSERT INTO Contact (Name, Email, Phone) SELECT 'Rob Harper','Rob.Harper@bentley.com','17137303385' WHERE NOT EXISTS (SELECT Name FROM Contact WHERE Name = 'Rob Harper');</v>
      </c>
      <c r="AB18" t="str">
        <f>contactsSQL('Master Table'!AB18)</f>
        <v>INSERT INTO Contact (Name, Email, Phone) SELECT 'Alain Beland','Alain.Beland@bentley.com','14188802022' WHERE NOT EXISTS (SELECT Name FROM Contact WHERE Name = 'Alain Beland');</v>
      </c>
      <c r="AC18" t="str">
        <f>contactsSQL('Master Table'!AC18)</f>
        <v>INSERT INTO Contact (Name, Email, Phone) SELECT 'Tim Lawrence','Tim.Lawrence@bentley.com','15873158588' WHERE NOT EXISTS (SELECT Name FROM Contact WHERE Name = 'Tim Lawrence');</v>
      </c>
      <c r="AD18" t="str">
        <f>contactsSQL('Master Table'!AD18)</f>
        <v>INSERT INTO Contact (Name, Email, Phone) SELECT 'Benoit Frederique','Benoit.Fredericque@bentley.com','' WHERE NOT EXISTS (SELECT Name FROM Contact WHERE Name = 'Benoit Frederique');</v>
      </c>
      <c r="AE18" t="str">
        <f>contactsSQL('Master Table'!AE18)</f>
        <v>INSERT INTO Contact (Name, Email, Phone) SELECT 'Benoit Frederique','Benoit.Fredericque@bentley.com','' WHERE NOT EXISTS (SELECT Name FROM Contact WHERE Name = 'Benoit Frederique');</v>
      </c>
      <c r="AF18" t="str">
        <f>contactsSQL('Master Table'!AF18)</f>
        <v>INSERT INTO Contact (Name, Email, Phone) SELECT 'Benoit Frederique','Benoit.Fredericque@bentley.com','' WHERE NOT EXISTS (SELECT Name FROM Contact WHERE Name = 'Benoit Frederique');</v>
      </c>
      <c r="AG18" t="str">
        <f>contactsSQL('Master Table'!AG18)</f>
        <v>INSERT INTO Contact (Name, Email, Phone) SELECT 'Benoit Frederique','Benoit.Fredericque@bentley.com','' WHERE NOT EXISTS (SELECT Name FROM Contact WHERE Name = 'Benoit Frederique');</v>
      </c>
      <c r="AH18" t="str">
        <f>contactsSQL('Master Table'!AH18)</f>
        <v>INSERT INTO Contact (Name, Email, Phone) SELECT 'Jim Barr','Jim.Barr@bentley.com','12567241520' WHERE NOT EXISTS (SELECT Name FROM Contact WHERE Name = 'Jim Barr');</v>
      </c>
      <c r="AI18" t="str">
        <f>contactsSQL('Master Table'!AI18)</f>
        <v>INSERT INTO Contact (Name, Email, Phone) SELECT 'Slavica Bozic','Slavica.Bozic@bentley.com','16302338281' WHERE NOT EXISTS (SELECT Name FROM Contact WHERE Name = 'Slavica Bozic');</v>
      </c>
      <c r="AJ18" t="str">
        <f>contactsSQL('Master Table'!AJ18)</f>
        <v>INSERT INTO Contact (Name, Email, Phone) SELECT 'Jim Newman','Jim.Newman@bentley.com','17044332566' WHERE NOT EXISTS (SELECT Name FROM Contact WHERE Name = 'Jim Newman');</v>
      </c>
      <c r="AK18" t="str">
        <f>contactsSQL('Master Table'!AK18)</f>
        <v>INSERT INTO Contact (Name, Email, Phone) SELECT 'Aaron Beazley','Aaron.Beazley@bentley.com','12898162642' WHERE NOT EXISTS (SELECT Name FROM Contact WHERE Name = 'Aaron Beazley');</v>
      </c>
      <c r="AL18" t="str">
        <f>contactsSQL('Master Table'!AL18)</f>
        <v>INSERT INTO Contact (Name, Email, Phone) SELECT 'Gijsbert Noordam','Gijsbert.Noordam@bentley.com','31235560626' WHERE NOT EXISTS (SELECT Name FROM Contact WHERE Name = 'Gijsbert Noordam');</v>
      </c>
      <c r="AM18" t="str">
        <f>contactsSQL('Master Table'!AM18)</f>
        <v>INSERT INTO Contact (Name, Email, Phone) SELECT 'Gregg Herrin','Gregg.Herrin@bentley.com','16104583188' WHERE NOT EXISTS (SELECT Name FROM Contact WHERE Name = 'Gregg Herrin');</v>
      </c>
      <c r="AN18" t="str">
        <f>contactsSQL('Master Table'!AN18)</f>
        <v>INSERT INTO Contact (Name, Email, Phone) SELECT 'Gijsbert Noordam','Gijsbert.Noordam@bentley.com','31235560626' WHERE NOT EXISTS (SELECT Name FROM Contact WHERE Name = 'Gijsbert Noordam');</v>
      </c>
      <c r="AO18" t="str">
        <f>contactsSQL('Master Table'!AO18)</f>
        <v>INSERT INTO Contact (Name, Email, Phone) SELECT 'Russell Page','Russell.Page@bentley.com','13032210689' WHERE NOT EXISTS (SELECT Name FROM Contact WHERE Name = 'Russell Page');</v>
      </c>
      <c r="AP18" t="str">
        <f>contactsSQL('Master Table'!AP18)</f>
        <v>INSERT INTO Contact (Name, Email, Phone) SELECT 'Mal Sharkey','Mal.Sharkey@bentley.com','61396978623' WHERE NOT EXISTS (SELECT Name FROM Contact WHERE Name = 'Mal Sharkey');</v>
      </c>
      <c r="AQ18" t="str">
        <f>contactsSQL('Master Table'!AQ18)</f>
        <v>INSERT INTO Contact (Name, Email, Phone) SELECT 'Aaron Beazily','Aaron.Beazley@bentley.com','12898162642' WHERE NOT EXISTS (SELECT Name FROM Contact WHERE Name = 'Aaron Beazily');</v>
      </c>
      <c r="AR18" t="str">
        <f>contactsSQL('Master Table'!AR18)</f>
        <v>INSERT INTO Contact (Name, Email, Phone) SELECT 'Jim Scott','Jim.Scott@bentley.com','13039670864' WHERE NOT EXISTS (SELECT Name FROM Contact WHERE Name = 'Jim Scott');</v>
      </c>
      <c r="AS18" t="str">
        <f>contactsSQL('Master Table'!AS18)</f>
        <v>INSERT INTO Contact (Name, Email, Phone) SELECT 'Duncan Rodger','Duncan.Rodger@bentley.com','441349865554' WHERE NOT EXISTS (SELECT Name FROM Contact WHERE Name = 'Duncan Rodger');</v>
      </c>
      <c r="AT18" t="str">
        <f>contactsSQL('Master Table'!AT18)</f>
        <v>INSERT INTO Contact (Name, Email, Phone) SELECT 'Taylor Gilmore','Taylor.Gilmore@bentley.com','14126811521' WHERE NOT EXISTS (SELECT Name FROM Contact WHERE Name = 'Taylor Gilmore');</v>
      </c>
      <c r="AU18" t="str">
        <f>contactsSQL('Master Table'!AU18)</f>
        <v>INSERT INTO Contact (Name, Email, Phone) SELECT 'Paolomee Udani','Paolomee.Udani@bentley.com','19252745107' WHERE NOT EXISTS (SELECT Name FROM Contact WHERE Name = 'Paolomee Udani');</v>
      </c>
      <c r="AV18" t="str">
        <f>contactsSQL('Master Table'!AV18)</f>
        <v>INSERT INTO Contact (Name, Email, Phone) SELECT 'Bill McNamara','Bill.McNamara@bentley.com','16104587602' WHERE NOT EXISTS (SELECT Name FROM Contact WHERE Name = 'Bill McNamara');</v>
      </c>
      <c r="AW18" t="str">
        <f>contactsSQL('Master Table'!AW18)</f>
        <v>INSERT INTO Contact (Name, Email, Phone) SELECT 'Bill McNamara','Bill.McNamara@bentley.com','16104587602' WHERE NOT EXISTS (SELECT Name FROM Contact WHERE Name = 'Bill McNamara');</v>
      </c>
      <c r="AX18" t="str">
        <f>contactsSQL('Master Table'!AX18)</f>
        <v>INSERT INTO Contact (Name, Email, Phone) SELECT 'Bill McNamara','Bill.McNamara@bentley.com','16104587602' WHERE NOT EXISTS (SELECT Name FROM Contact WHERE Name = 'Bill McNamara');</v>
      </c>
      <c r="AY18" t="str">
        <f>contactsSQL('Master Table'!AY18)</f>
        <v>INSERT INTO Contact (Name, Email, Phone) SELECT 'Bill McNamara','Bill.McNamara@bentley.com','16104587602' WHERE NOT EXISTS (SELECT Name FROM Contact WHERE Name = 'Bill McNamara');</v>
      </c>
      <c r="AZ18" t="str">
        <f>contactsSQL('Master Table'!AZ18)</f>
        <v>INSERT INTO Contact (Name, Email, Phone) SELECT 'Bill McNamara','Bill.McNamara@bentley.com','16104587602' WHERE NOT EXISTS (SELECT Name FROM Contact WHERE Name = 'Bill McNamara');</v>
      </c>
      <c r="BA18" t="str">
        <f>contactsSQL('Master Table'!BA18)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18" t="str">
        <f>contactsSQL('Master Table'!BB18)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18" t="str">
        <f>contactsSQL('Master Table'!BC18)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18" t="str">
        <f>contactsSQL('Master Table'!BD18)</f>
        <v>INSERT INTO Contact (Name, Email, Phone) SELECT 'Joe Granville','Joe.Granville@bentley.com','16104582951' WHERE NOT EXISTS (SELECT Name FROM Contact WHERE Name = 'Joe Granville');</v>
      </c>
      <c r="BE18" t="str">
        <f>contactsSQL('Master Table'!BE18)</f>
        <v>INSERT INTO Contact (Name, Email, Phone) SELECT 'Beth Buerger','Beth.Buerger@bentley.com','17205283380' WHERE NOT EXISTS (SELECT Name FROM Contact WHERE Name = 'Beth Buerger');</v>
      </c>
      <c r="BF18" t="str">
        <f>contactsSQL('Master Table'!BF18)</f>
        <v>INSERT INTO Contact (Name, Email, Phone) SELECT 'Sam Stuart','Sam.Stuart@bentley.com','' WHERE NOT EXISTS (SELECT Name FROM Contact WHERE Name = 'Sam Stuart');</v>
      </c>
      <c r="BG18" t="str">
        <f>contactsSQL('Master Table'!BG18)</f>
        <v>INSERT INTO Contact (Name, Email, Phone) SELECT 'Rimantas Varanavicius','imantas.Varanavicius@bentley.com','37052398145' WHERE NOT EXISTS (SELECT Name FROM Contact WHERE Name = 'Rimantas Varanavicius');</v>
      </c>
      <c r="BH18" t="str">
        <f>contactsSQL('Master Table'!BH18)</f>
        <v>INSERT INTO Contact (Name, Email, Phone) SELECT 'Jo Wright','Jo.Wright@bentley.com','12569701111' WHERE NOT EXISTS (SELECT Name FROM Contact WHERE Name = 'Jo Wright');</v>
      </c>
      <c r="BI18" t="str">
        <f>contactsSQL('Master Table'!BI18)</f>
        <v>INSERT INTO Contact (Name, Email, Phone) SELECT 'Jo Wright','Jo.Wright@bentley.com','12569701111' WHERE NOT EXISTS (SELECT Name FROM Contact WHERE Name = 'Jo Wright');</v>
      </c>
      <c r="BJ18" t="str">
        <f>contactsSQL('Master Table'!BJ18)</f>
        <v>INSERT INTO Contact (Name, Email, Phone) SELECT 'Jo Wright','Jo.Wright@bentley.com','12569701111' WHERE NOT EXISTS (SELECT Name FROM Contact WHERE Name = 'Jo Wright');</v>
      </c>
      <c r="BK18" t="str">
        <f>contactsSQL('Master Table'!BK18)</f>
        <v>INSERT INTO Contact (Name, Email, Phone) SELECT 'Jo Wright','Jo.Wright@bentley.com','12569701111' WHERE NOT EXISTS (SELECT Name FROM Contact WHERE Name = 'Jo Wright');</v>
      </c>
      <c r="BL18" t="str">
        <f>contactsSQL('Master Table'!BL18)</f>
        <v>INSERT INTO Contact (Name, Email, Phone) SELECT 'Jo Wright','Jo.Wright@bentley.com','12569701111' WHERE NOT EXISTS (SELECT Name FROM Contact WHERE Name = 'Jo Wright');</v>
      </c>
    </row>
    <row r="19" spans="3:64" x14ac:dyDescent="0.25">
      <c r="C19" t="str">
        <f>contactsSQL('Master Table'!C19)</f>
        <v>INSERT INTO Contact (Name, Email, Phone) SELECT 'Richard Tully','Richard.Tully@bentley.com','442078617874' WHERE NOT EXISTS (SELECT Name FROM Contact WHERE Name = 'Richard Tully');</v>
      </c>
      <c r="D19" t="str">
        <f>contactsSQL('Master Table'!D19)</f>
        <v>INSERT INTO Contact (Name, Email, Phone) SELECT 'Richard Tully','Richard.Tully@bentley.com','442078617874' WHERE NOT EXISTS (SELECT Name FROM Contact WHERE Name = 'Richard Tully');</v>
      </c>
      <c r="E19" t="str">
        <f>contactsSQL('Master Table'!E19)</f>
        <v/>
      </c>
      <c r="F19" t="str">
        <f>contactsSQL('Master Table'!F19)</f>
        <v>INSERT INTO Contact (Name, Email, Phone) SELECT 'Jerard Marsh','Jerard.Marsh@bentley.com','442078610340' WHERE NOT EXISTS (SELECT Name FROM Contact WHERE Name = 'Jerard Marsh');</v>
      </c>
      <c r="G19" t="str">
        <f>contactsSQL('Master Table'!G19)</f>
        <v>INSERT INTO Contact (Name, Email, Phone) SELECT 'Ian Sevilla','Ian.Sevilla@bentley.com','61894311511' WHERE NOT EXISTS (SELECT Name FROM Contact WHERE Name = 'Ian Sevilla');</v>
      </c>
      <c r="H19" t="str">
        <f>contactsSQL('Master Table'!H19)</f>
        <v>INSERT INTO Contact (Name, Email, Phone) SELECT 'Rupesh Kumar','Rupesh.Kumar@bentley.com','160379403439' WHERE NOT EXISTS (SELECT Name FROM Contact WHERE Name = 'Rupesh Kumar');</v>
      </c>
      <c r="I19" t="str">
        <f>contactsSQL('Master Table'!I19)</f>
        <v>INSERT INTO Contact (Name, Email, Phone) SELECT 'JP Chanard','JeanPierre.Chanard@bentley.com','33155238460' WHERE NOT EXISTS (SELECT Name FROM Contact WHERE Name = 'JP Chanard');</v>
      </c>
      <c r="J19" t="str">
        <f>contactsSQL('Master Table'!J19)</f>
        <v>INSERT INTO Contact (Name, Email, Phone) SELECT 'JP Chanard','JeanPierre.Chanard@bentley.com','33155238460' WHERE NOT EXISTS (SELECT Name FROM Contact WHERE Name = 'JP Chanard');</v>
      </c>
      <c r="K19" t="str">
        <f>contactsSQL('Master Table'!K19)</f>
        <v>INSERT INTO Contact (Name, Email, Phone) SELECT 'Ignacio Almagro','Ignacio.Almagro@bentley.com','19543439336' WHERE NOT EXISTS (SELECT Name FROM Contact WHERE Name = 'Ignacio Almagro');</v>
      </c>
      <c r="L19" t="str">
        <f>contactsSQL('Master Table'!L19)</f>
        <v>INSERT INTO Contact (Name, Email, Phone) SELECT 'Ignacio Almagro','Ignacio.Almagro@bentley.com','19543439336' WHERE NOT EXISTS (SELECT Name FROM Contact WHERE Name = 'Ignacio Almagro');</v>
      </c>
      <c r="M19" t="str">
        <f>contactsSQL('Master Table'!M19)</f>
        <v>INSERT INTO Contact (Name, Email, Phone) SELECT 'Chris Croucher','Chris.Croucher@bentley.com','16103214606' WHERE NOT EXISTS (SELECT Name FROM Contact WHERE Name = 'Chris Croucher');</v>
      </c>
      <c r="N19" t="str">
        <f>contactsSQL('Master Table'!N19)</f>
        <v>INSERT INTO Contact (Name, Email, Phone) SELECT 'Mark Lill','Mark.Lill@bentley.com','498996243226' WHERE NOT EXISTS (SELECT Name FROM Contact WHERE Name = 'Mark Lill');</v>
      </c>
      <c r="O19" t="str">
        <f>contactsSQL('Master Table'!O19)</f>
        <v>INSERT INTO Contact (Name, Email, Phone) SELECT 'Steve Brown','Steve.Brown@bentley.com','44' WHERE NOT EXISTS (SELECT Name FROM Contact WHERE Name = 'Steve Brown');</v>
      </c>
      <c r="P19" t="str">
        <f>contactsSQL('Master Table'!P19)</f>
        <v>INSERT INTO Contact (Name, Email, Phone) SELECT 'Paul Demetriou','Paul.Demetriou@bentley.com','12088879204' WHERE NOT EXISTS (SELECT Name FROM Contact WHERE Name = 'Paul Demetriou');</v>
      </c>
      <c r="Q19" t="str">
        <f>contactsSQL('Master Table'!Q19)</f>
        <v>INSERT INTO Contact (Name, Email, Phone) SELECT 'Ian Rosam','Ian.Rosam@bentley.com','442078610313' WHERE NOT EXISTS (SELECT Name FROM Contact WHERE Name = 'Ian Rosam');</v>
      </c>
      <c r="R19" t="str">
        <f>contactsSQL('Master Table'!R19)</f>
        <v>INSERT INTO Contact (Name, Email, Phone) SELECT 'Ian Rosam','Ian.Rosam@bentley.com','442078610313' WHERE NOT EXISTS (SELECT Name FROM Contact WHERE Name = 'Ian Rosam');</v>
      </c>
      <c r="S19" t="str">
        <f>contactsSQL('Master Table'!S19)</f>
        <v>INSERT INTO Contact (Name, Email, Phone) SELECT 'Ian Rosam','Ian.Rosam@bentley.com','442078610313' WHERE NOT EXISTS (SELECT Name FROM Contact WHERE Name = 'Ian Rosam');</v>
      </c>
      <c r="T19" t="str">
        <f>contactsSQL('Master Table'!T19)</f>
        <v>INSERT INTO Contact (Name, Email, Phone) SELECT 'Mark Marnell','Mark.Marnell@bentley.com','44' WHERE NOT EXISTS (SELECT Name FROM Contact WHERE Name = 'Mark Marnell');</v>
      </c>
      <c r="U19" t="str">
        <f>contactsSQL('Master Table'!U19)</f>
        <v>INSERT INTO Contact (Name, Email, Phone) SELECT 'Ian Rosam','Ian.Rosam@bentley.com','442078610313' WHERE NOT EXISTS (SELECT Name FROM Contact WHERE Name = 'Ian Rosam');</v>
      </c>
      <c r="V19" t="str">
        <f>contactsSQL('Master Table'!V19)</f>
        <v>INSERT INTO Contact (Name, Email, Phone) SELECT 'Kevin McDonald','Kevin.McDonald@bentley.com','12569701123' WHERE NOT EXISTS (SELECT Name FROM Contact WHERE Name = 'Kevin McDonald');</v>
      </c>
      <c r="W19" t="str">
        <f>contactsSQL('Master Table'!W19)</f>
        <v>INSERT INTO Contact (Name, Email, Phone) SELECT 'Ian Joyce','Ian.Joyce@bentley.com','442476260204' WHERE NOT EXISTS (SELECT Name FROM Contact WHERE Name = 'Ian Joyce');</v>
      </c>
      <c r="X19" t="str">
        <f>contactsSQL('Master Table'!X19)</f>
        <v>INSERT INTO Contact (Name, Email, Phone) SELECT 'Darren Guy','Darren.Guy@bentley.com','442078610911' WHERE NOT EXISTS (SELECT Name FROM Contact WHERE Name = 'Darren Guy');</v>
      </c>
      <c r="Y19" t="str">
        <f>contactsSQL('Master Table'!Y19)</f>
        <v>INSERT INTO Contact (Name, Email, Phone) SELECT 'Tim Lawrence','Tim.Lawrence@bentley.com','15873158588' WHERE NOT EXISTS (SELECT Name FROM Contact WHERE Name = 'Tim Lawrence');</v>
      </c>
      <c r="Z19" t="str">
        <f>contactsSQL('Master Table'!Z19)</f>
        <v>INSERT INTO Contact (Name, Email, Phone) SELECT 'Darren Guy','Darren.Guy@bentley.com','442078610911' WHERE NOT EXISTS (SELECT Name FROM Contact WHERE Name = 'Darren Guy');</v>
      </c>
      <c r="AA19" t="str">
        <f>contactsSQL('Master Table'!AA19)</f>
        <v>INSERT INTO Contact (Name, Email, Phone) SELECT 'Klaus Hatle','Klaus.Hatle@bentley.com','4747877075' WHERE NOT EXISTS (SELECT Name FROM Contact WHERE Name = 'Klaus Hatle');</v>
      </c>
      <c r="AB19" t="str">
        <f>contactsSQL('Master Table'!AB19)</f>
        <v>INSERT INTO Contact (Name, Email, Phone) SELECT 'Alain Beland','Alain.Beland@bentley.com','14188802022' WHERE NOT EXISTS (SELECT Name FROM Contact WHERE Name = 'Alain Beland');</v>
      </c>
      <c r="AC19" t="str">
        <f>contactsSQL('Master Table'!AC19)</f>
        <v>INSERT INTO Contact (Name, Email, Phone) SELECT 'Peter Alspaugh','Peter.Alspaugh@bentley.com','18322172816' WHERE NOT EXISTS (SELECT Name FROM Contact WHERE Name = 'Peter Alspaugh');</v>
      </c>
      <c r="AD19" t="str">
        <f>contactsSQL('Master Table'!AD19)</f>
        <v>INSERT INTO Contact (Name, Email, Phone) SELECT 'Benoit Frederique','Benoit.Fredericque@bentley.com','' WHERE NOT EXISTS (SELECT Name FROM Contact WHERE Name = 'Benoit Frederique');</v>
      </c>
      <c r="AE19" t="str">
        <f>contactsSQL('Master Table'!AE19)</f>
        <v>INSERT INTO Contact (Name, Email, Phone) SELECT 'Benoit Frederique','Benoit.Fredericque@bentley.com','' WHERE NOT EXISTS (SELECT Name FROM Contact WHERE Name = 'Benoit Frederique');</v>
      </c>
      <c r="AF19" t="str">
        <f>contactsSQL('Master Table'!AF19)</f>
        <v>INSERT INTO Contact (Name, Email, Phone) SELECT 'Benoit Frederique','Benoit.Fredericque@bentley.com','' WHERE NOT EXISTS (SELECT Name FROM Contact WHERE Name = 'Benoit Frederique');</v>
      </c>
      <c r="AG19" t="str">
        <f>contactsSQL('Master Table'!AG19)</f>
        <v>INSERT INTO Contact (Name, Email, Phone) SELECT 'Benoit Frederique','Benoit.Fredericque@bentley.com','' WHERE NOT EXISTS (SELECT Name FROM Contact WHERE Name = 'Benoit Frederique');</v>
      </c>
      <c r="AH19" t="str">
        <f>contactsSQL('Master Table'!AH19)</f>
        <v>INSERT INTO Contact (Name, Email, Phone) SELECT 'Adam Smith','Adam.Smith@bentley.com','' WHERE NOT EXISTS (SELECT Name FROM Contact WHERE Name = 'Adam Smith');</v>
      </c>
      <c r="AI19" t="str">
        <f>contactsSQL('Master Table'!AI19)</f>
        <v>INSERT INTO Contact (Name, Email, Phone) SELECT 'Richard Whysall','Richard.Whysall@bentley.com','442078610925' WHERE NOT EXISTS (SELECT Name FROM Contact WHERE Name = 'Richard Whysall');</v>
      </c>
      <c r="AJ19" t="str">
        <f>contactsSQL('Master Table'!AJ19)</f>
        <v>INSERT INTO Contact (Name, Email, Phone) SELECT 'Harrie van Mullekom','Harrie.vanMullekom@bentley.com','31235560635' WHERE NOT EXISTS (SELECT Name FROM Contact WHERE Name = 'Harrie van Mullekom');</v>
      </c>
      <c r="AK19" t="str">
        <f>contactsSQL('Master Table'!AK19)</f>
        <v>INSERT INTO Contact (Name, Email, Phone) SELECT 'Harrie van Mullekom','Harrie.vanMullekom@bentley.com','31235560635' WHERE NOT EXISTS (SELECT Name FROM Contact WHERE Name = 'Harrie van Mullekom');</v>
      </c>
      <c r="AL19" t="str">
        <f>contactsSQL('Master Table'!AL19)</f>
        <v>INSERT INTO Contact (Name, Email, Phone) SELECT 'Jukka Kivela','Jukka.Kivela@bentley.com','358108301229' WHERE NOT EXISTS (SELECT Name FROM Contact WHERE Name = 'Jukka Kivela');</v>
      </c>
      <c r="AM19" t="str">
        <f>contactsSQL('Master Table'!AM19)</f>
        <v>INSERT INTO Contact (Name, Email, Phone) SELECT 'Jukka Kivela','Jukka.Kivela@bentley.com','358108301229' WHERE NOT EXISTS (SELECT Name FROM Contact WHERE Name = 'Jukka Kivela');</v>
      </c>
      <c r="AN19" t="str">
        <f>contactsSQL('Master Table'!AN19)</f>
        <v>INSERT INTO Contact (Name, Email, Phone) SELECT 'Lon Opp','Lon.Opp@bentley.com','12569701127' WHERE NOT EXISTS (SELECT Name FROM Contact WHERE Name = 'Lon Opp');</v>
      </c>
      <c r="AO19" t="str">
        <f>contactsSQL('Master Table'!AO19)</f>
        <v>INSERT INTO Contact (Name, Email, Phone) SELECT 'Clive Hackforth','Clive.Hackforth@bentley.com','442078610933' WHERE NOT EXISTS (SELECT Name FROM Contact WHERE Name = 'Clive Hackforth');</v>
      </c>
      <c r="AP19" t="str">
        <f>contactsSQL('Master Table'!AP19)</f>
        <v>INSERT INTO Contact (Name, Email, Phone) SELECT 'MSV Rao','MSV.Rao@bentley.com','919820223761' WHERE NOT EXISTS (SELECT Name FROM Contact WHERE Name = 'MSV Rao');</v>
      </c>
      <c r="AQ19" t="str">
        <f>contactsSQL('Master Table'!AQ19)</f>
        <v>INSERT INTO Contact (Name, Email, Phone) SELECT 'Joanna Slowinska','Joanna.Slowinska@bentley.com','442078610317' WHERE NOT EXISTS (SELECT Name FROM Contact WHERE Name = 'Joanna Slowinska');</v>
      </c>
      <c r="AR19" t="str">
        <f>contactsSQL('Master Table'!AR19)</f>
        <v>INSERT INTO Contact (Name, Email, Phone) SELECT 'Richard Ellis','Richard.Ellis@bentley.com','6421611832' WHERE NOT EXISTS (SELECT Name FROM Contact WHERE Name = 'Richard Ellis');</v>
      </c>
      <c r="AS19" t="str">
        <f>contactsSQL('Master Table'!AS19)</f>
        <v>INSERT INTO Contact (Name, Email, Phone) SELECT 'Neil Pickin','Neil.Pickin@bentley.com','441619731462' WHERE NOT EXISTS (SELECT Name FROM Contact WHERE Name = 'Neil Pickin');</v>
      </c>
      <c r="AT19" t="str">
        <f>contactsSQL('Master Table'!AT19)</f>
        <v>INSERT INTO Contact (Name, Email, Phone) SELECT 'Mark Mazzeo','Mark.Mazzeo@bentley.com','14122303034' WHERE NOT EXISTS (SELECT Name FROM Contact WHERE Name = 'Mark Mazzeo');</v>
      </c>
      <c r="AU19" t="str">
        <f>contactsSQL('Master Table'!AU19)</f>
        <v>INSERT INTO Contact (Name, Email, Phone) SELECT 'Paul Johnson','Paul.Johnson@bentley.com','16104583191' WHERE NOT EXISTS (SELECT Name FROM Contact WHERE Name = 'Paul Johnson');</v>
      </c>
      <c r="AV19" t="str">
        <f>contactsSQL('Master Table'!AV19)</f>
        <v>INSERT INTO Contact (Name, Email, Phone) SELECT 'Arturas Zidonis','Arturas.Zidonis@bentley.com','37052507277' WHERE NOT EXISTS (SELECT Name FROM Contact WHERE Name = 'Arturas Zidonis');</v>
      </c>
      <c r="AW19" t="str">
        <f>contactsSQL('Master Table'!AW19)</f>
        <v>INSERT INTO Contact (Name, Email, Phone) SELECT 'Justinas Verbickas','Justinas.Verbickas@bentley.com','37052503337' WHERE NOT EXISTS (SELECT Name FROM Contact WHERE Name = 'Justinas Verbickas');</v>
      </c>
      <c r="AX19" t="str">
        <f>contactsSQL('Master Table'!AX19)</f>
        <v>INSERT INTO Contact (Name, Email, Phone) SELECT 'Arturas Zidonis','Arturas.Zidonis@bentley.com','37052507277' WHERE NOT EXISTS (SELECT Name FROM Contact WHERE Name = 'Arturas Zidonis');</v>
      </c>
      <c r="AY19" t="str">
        <f>contactsSQL('Master Table'!AY19)</f>
        <v>INSERT INTO Contact (Name, Email, Phone) SELECT 'Arturas Zidonis','Arturas.Zidonis@bentley.com','37052507277' WHERE NOT EXISTS (SELECT Name FROM Contact WHERE Name = 'Arturas Zidonis');</v>
      </c>
      <c r="AZ19" t="str">
        <f>contactsSQL('Master Table'!AZ19)</f>
        <v>INSERT INTO Contact (Name, Email, Phone) SELECT 'Arturas Zidonis','Arturas.Zidonis@bentley.com','37052507277' WHERE NOT EXISTS (SELECT Name FROM Contact WHERE Name = 'Arturas Zidonis');</v>
      </c>
      <c r="BA19" t="str">
        <f>contactsSQL('Master Table'!BA19)</f>
        <v>INSERT INTO Contact (Name, Email, Phone) SELECT 'Justinas Verbickas','Justinas.Verbickas@bentley.com','37052503337' WHERE NOT EXISTS (SELECT Name FROM Contact WHERE Name = 'Justinas Verbickas');</v>
      </c>
      <c r="BB19" t="str">
        <f>contactsSQL('Master Table'!BB19)</f>
        <v>INSERT INTO Contact (Name, Email, Phone) SELECT 'Justinas Verbickas','Justinas.Verbickas@bentley.com','37052503337' WHERE NOT EXISTS (SELECT Name FROM Contact WHERE Name = 'Justinas Verbickas');</v>
      </c>
      <c r="BC19" t="str">
        <f>contactsSQL('Master Table'!BC19)</f>
        <v>INSERT INTO Contact (Name, Email, Phone) SELECT 'Justinas Verbickas','Justinas.Verbickas@bentley.com','37052503337' WHERE NOT EXISTS (SELECT Name FROM Contact WHERE Name = 'Justinas Verbickas');</v>
      </c>
      <c r="BD19" t="str">
        <f>contactsSQL('Master Table'!BD19)</f>
        <v>INSERT INTO Contact (Name, Email, Phone) SELECT 'Paul Johnson','Paul.Johnson@bentley.com','16104583191' WHERE NOT EXISTS (SELECT Name FROM Contact WHERE Name = 'Paul Johnson');</v>
      </c>
      <c r="BE19" t="str">
        <f>contactsSQL('Master Table'!BE19)</f>
        <v>INSERT INTO Contact (Name, Email, Phone) SELECT 'Paul Johnson','Paul.Johnson@bentley.com','16104583191' WHERE NOT EXISTS (SELECT Name FROM Contact WHERE Name = 'Paul Johnson');</v>
      </c>
      <c r="BF19" t="str">
        <f>contactsSQL('Master Table'!BF19)</f>
        <v>INSERT INTO Contact (Name, Email, Phone) SELECT 'Matt Starke','Matt.Starke@bentley.com','15102502118' WHERE NOT EXISTS (SELECT Name FROM Contact WHERE Name = 'Matt Starke');</v>
      </c>
      <c r="BG19" t="str">
        <f>contactsSQL('Master Table'!BG19)</f>
        <v>INSERT INTO Contact (Name, Email, Phone) SELECT 'Arturas Baranauskas','Arturas.Baranauskas@bentley.com','37052507280' WHERE NOT EXISTS (SELECT Name FROM Contact WHERE Name = 'Arturas Baranauskas');</v>
      </c>
      <c r="BH19" t="str">
        <f>contactsSQL('Master Table'!BH19)</f>
        <v>INSERT INTO Contact (Name, Email, Phone) SELECT 'Amol Sonawane','Amol.Sonawane@bentley.com','912066021201' WHERE NOT EXISTS (SELECT Name FROM Contact WHERE Name = 'Amol Sonawane');</v>
      </c>
      <c r="BI19" t="str">
        <f>contactsSQL('Master Table'!BI19)</f>
        <v>INSERT INTO Contact (Name, Email, Phone) SELECT 'Justinas Verbickas','Justinas.Verbickas@bentley.com','37052503337' WHERE NOT EXISTS (SELECT Name FROM Contact WHERE Name = 'Justinas Verbickas');</v>
      </c>
      <c r="BJ19" t="str">
        <f>contactsSQL('Master Table'!BJ19)</f>
        <v>INSERT INTO Contact (Name, Email, Phone) SELECT 'Arturas Zidonis','Arturas.Zidonis@bentley.com','37052507277' WHERE NOT EXISTS (SELECT Name FROM Contact WHERE Name = 'Arturas Zidonis');</v>
      </c>
      <c r="BK19" t="str">
        <f>contactsSQL('Master Table'!BK19)</f>
        <v>INSERT INTO Contact (Name, Email, Phone) SELECT 'Evert de Jong','Evert.deJong@bentley.com','31235560545' WHERE NOT EXISTS (SELECT Name FROM Contact WHERE Name = 'Evert de Jong');</v>
      </c>
      <c r="BL19" t="str">
        <f>contactsSQL('Master Table'!BL19)</f>
        <v>INSERT INTO Contact (Name, Email, Phone) SELECT 'Evert de Jong','Evert.deJong@bentley.com','31235560545' WHERE NOT EXISTS (SELECT Name FROM Contact WHERE Name = 'Evert de Jong');</v>
      </c>
    </row>
    <row r="20" spans="3:64" x14ac:dyDescent="0.25">
      <c r="C20" t="str">
        <f>contactsSQL('Master Table'!C20)</f>
        <v/>
      </c>
      <c r="D20" t="str">
        <f>contactsSQL('Master Table'!D20)</f>
        <v/>
      </c>
      <c r="E20" t="str">
        <f>contactsSQL('Master Table'!E20)</f>
        <v/>
      </c>
      <c r="F20" t="str">
        <f>contactsSQL('Master Table'!F20)</f>
        <v/>
      </c>
      <c r="G20" t="str">
        <f>contactsSQL('Master Table'!G20)</f>
        <v/>
      </c>
      <c r="H20" t="str">
        <f>contactsSQL('Master Table'!H20)</f>
        <v/>
      </c>
      <c r="I20" t="str">
        <f>contactsSQL('Master Table'!I20)</f>
        <v/>
      </c>
      <c r="J20" t="str">
        <f>contactsSQL('Master Table'!J20)</f>
        <v/>
      </c>
      <c r="K20" t="str">
        <f>contactsSQL('Master Table'!K20)</f>
        <v/>
      </c>
      <c r="L20" t="str">
        <f>contactsSQL('Master Table'!L20)</f>
        <v/>
      </c>
      <c r="M20" t="str">
        <f>contactsSQL('Master Table'!M20)</f>
        <v/>
      </c>
      <c r="N20" t="str">
        <f>contactsSQL('Master Table'!N20)</f>
        <v>INSERT INTO Contact (Name, Email, Phone) SELECT 'Na Li','Na.Li@bentley.com','861059297063' WHERE NOT EXISTS (SELECT Name FROM Contact WHERE Name = 'Na Li');INSERT INTO Contact (Name, Email, Phone) SELECT 'Steven Chau','steven.chau@bentley.com','6566926584' WHERE NOT EXISTS (SELECT Name FROM Contact WHERE Name = 'Steven Chau');</v>
      </c>
      <c r="O20" t="str">
        <f>contactsSQL('Master Table'!O20)</f>
        <v>INSERT INTO Contact (Name, Email, Phone) SELECT 'Na Li','Na.Li@bentley.com','861059297063' WHERE NOT EXISTS (SELECT Name FROM Contact WHERE Name = 'Na Li');INSERT INTO Contact (Name, Email, Phone) SELECT 'Steven Chau','steven.chau@bentley.com','6566926584' WHERE NOT EXISTS (SELECT Name FROM Contact WHERE Name = 'Steven Chau');</v>
      </c>
      <c r="P20" t="str">
        <f>contactsSQL('Master Table'!P20)</f>
        <v>INSERT INTO Contact (Name, Email, Phone) SELECT 'Na Li','Na.Li@bentley.com','861059297063' WHERE NOT EXISTS (SELECT Name FROM Contact WHERE Name = 'Na Li');INSERT INTO Contact (Name, Email, Phone) SELECT 'Steven Chau','steven.chau@bentley.com','6566926584' WHERE NOT EXISTS (SELECT Name FROM Contact WHERE Name = 'Steven Chau');</v>
      </c>
      <c r="Q20" t="str">
        <f>contactsSQL('Master Table'!Q20)</f>
        <v>INSERT INTO Contact (Name, Email, Phone) SELECT 'Peimeng Liu','Peimeng.Liu@bentley.com','861059297089' WHERE NOT EXISTS (SELECT Name FROM Contact WHERE Name = 'Peimeng Liu');</v>
      </c>
      <c r="R20" t="str">
        <f>contactsSQL('Master Table'!R20)</f>
        <v>INSERT INTO Contact (Name, Email, Phone) SELECT 'Xiuxia Wang','Xiuxia.Wang@bentley.com','861059297161' WHERE NOT EXISTS (SELECT Name FROM Contact WHERE Name = 'Xiuxia Wang');INSERT INTO Contact (Name, Email, Phone) SELECT 'Steven Chau','steven.chau@bentley.com','6566926584' WHERE NOT EXISTS (SELECT Name FROM Contact WHERE Name = 'Steven Chau');</v>
      </c>
      <c r="S20" t="str">
        <f>contactsSQL('Master Table'!S20)</f>
        <v>INSERT INTO Contact (Name, Email, Phone) SELECT 'Xiuxia Wang','Xiuxia.Wang@bentley.com','861059297161' WHERE NOT EXISTS (SELECT Name FROM Contact WHERE Name = 'Xiuxia Wang');INSERT INTO Contact (Name, Email, Phone) SELECT 'Steven Chau','steven.chau@bentley.com','6566926584' WHERE NOT EXISTS (SELECT Name FROM Contact WHERE Name = 'Steven Chau');</v>
      </c>
      <c r="T20" t="str">
        <f>contactsSQL('Master Table'!T20)</f>
        <v>INSERT INTO Contact (Name, Email, Phone) SELECT 'Xiuxia Wang','Xiuxia.Wang@bentley.com','861059297161' WHERE NOT EXISTS (SELECT Name FROM Contact WHERE Name = 'Xiuxia Wang');INSERT INTO Contact (Name, Email, Phone) SELECT 'Steven Chau','steven.chau@bentley.com','6566926584' WHERE NOT EXISTS (SELECT Name FROM Contact WHERE Name = 'Steven Chau');</v>
      </c>
      <c r="U20" t="str">
        <f>contactsSQL('Master Table'!U20)</f>
        <v>INSERT INTO Contact (Name, Email, Phone) SELECT 'Xiuxia Wang','Xiuxia.Wang@bentley.com','861059297161' WHERE NOT EXISTS (SELECT Name FROM Contact WHERE Name = 'Xiuxia Wang');INSERT INTO Contact (Name, Email, Phone) SELECT 'Steven Chau','steven.chau@bentley.com','6566926584' WHERE NOT EXISTS (SELECT Name FROM Contact WHERE Name = 'Steven Chau');</v>
      </c>
      <c r="V20" t="str">
        <f>contactsSQL('Master Table'!V20)</f>
        <v>INSERT INTO Contact (Name, Email, Phone) SELECT 'Xiuxia Wang','Xiuxia.Wang@bentley.com','861059297161' WHERE NOT EXISTS (SELECT Name FROM Contact WHERE Name = 'Xiuxia Wang');INSERT INTO Contact (Name, Email, Phone) SELECT 'Steven Chau','steven.chau@bentley.com','6566926584' WHERE NOT EXISTS (SELECT Name FROM Contact WHERE Name = 'Steven Chau');</v>
      </c>
      <c r="W20" t="str">
        <f>contactsSQL('Master Table'!W20)</f>
        <v>INSERT INTO Contact (Name, Email, Phone) SELECT 'Xiuxia Wang','Xiuxia.Wang@bentley.com','861059297161' WHERE NOT EXISTS (SELECT Name FROM Contact WHERE Name = 'Xiuxia Wang');INSERT INTO Contact (Name, Email, Phone) SELECT 'Steven Chau','steven.chau@bentley.com','6566926584' WHERE NOT EXISTS (SELECT Name FROM Contact WHERE Name = 'Steven Chau');</v>
      </c>
      <c r="X20" t="str">
        <f>contactsSQL('Master Table'!X20)</f>
        <v>INSERT INTO Contact (Name, Email, Phone) SELECT 'Jia Wen','Jia.Wen@bentley.com','861059297010' WHERE NOT EXISTS (SELECT Name FROM Contact WHERE Name = 'Jia Wen');INSERT INTO Contact (Name, Email, Phone) SELECT 'Steven Chau','steven.chau@bentley.com','6566926584' WHERE NOT EXISTS (SELECT Name FROM Contact WHERE Name = 'Steven Chau');</v>
      </c>
      <c r="Y20" t="str">
        <f>contactsSQL('Master Table'!Y20)</f>
        <v>INSERT INTO Contact (Name, Email, Phone) SELECT 'Jia Wen','Jia.Wen@bentley.com','861059297010' WHERE NOT EXISTS (SELECT Name FROM Contact WHERE Name = 'Jia Wen');INSERT INTO Contact (Name, Email, Phone) SELECT 'Steven Chau','steven.chau@bentley.com','6566926584' WHERE NOT EXISTS (SELECT Name FROM Contact WHERE Name = 'Steven Chau');</v>
      </c>
      <c r="Z20" t="str">
        <f>contactsSQL('Master Table'!Z20)</f>
        <v>INSERT INTO Contact (Name, Email, Phone) SELECT 'Jia Wen','Jia.Wen@bentley.com','861059297010' WHERE NOT EXISTS (SELECT Name FROM Contact WHERE Name = 'Jia Wen');INSERT INTO Contact (Name, Email, Phone) SELECT 'Steven Chau','steven.chau@bentley.com','6566926584' WHERE NOT EXISTS (SELECT Name FROM Contact WHERE Name = 'Steven Chau');</v>
      </c>
      <c r="AA20" t="str">
        <f>contactsSQL('Master Table'!AA20)</f>
        <v>INSERT INTO Contact (Name, Email, Phone) SELECT 'Jia Wen','Jia.Wen@bentley.com','861059297010' WHERE NOT EXISTS (SELECT Name FROM Contact WHERE Name = 'Jia Wen');INSERT INTO Contact (Name, Email, Phone) SELECT 'Steven Chau','steven.chau@bentley.com','6566926584' WHERE NOT EXISTS (SELECT Name FROM Contact WHERE Name = 'Steven Chau');</v>
      </c>
      <c r="AB20" t="str">
        <f>contactsSQL('Master Table'!AB20)</f>
        <v>INSERT INTO Contact (Name, Email, Phone) SELECT 'Jia Wen','Jia.Wen@bentley.com','861059297010' WHERE NOT EXISTS (SELECT Name FROM Contact WHERE Name = 'Jia Wen');INSERT INTO Contact (Name, Email, Phone) SELECT 'Steven Chau','steven.chau@bentley.com','6566926584' WHERE NOT EXISTS (SELECT Name FROM Contact WHERE Name = 'Steven Chau');</v>
      </c>
      <c r="AC20" t="str">
        <f>contactsSQL('Master Table'!AC20)</f>
        <v>INSERT INTO Contact (Name, Email, Phone) SELECT 'Jia Wen','Jia.Wen@bentley.com','861059297010' WHERE NOT EXISTS (SELECT Name FROM Contact WHERE Name = 'Jia Wen');INSERT INTO Contact (Name, Email, Phone) SELECT 'Steven Chau','steven.chau@bentley.com','6566926584' WHERE NOT EXISTS (SELECT Name FROM Contact WHERE Name = 'Steven Chau');</v>
      </c>
      <c r="AD20" t="str">
        <f>contactsSQL('Master Table'!AD20)</f>
        <v>INSERT INTO Contact (Name, Email, Phone) SELECT 'Alex Yang Steven','alex.yang@bentley.com','861059297013' WHERE NOT EXISTS (SELECT Name FROM Contact WHERE Name = 'Alex Yang Steven');</v>
      </c>
      <c r="AE20" t="str">
        <f>contactsSQL('Master Table'!AE20)</f>
        <v>INSERT INTO Contact (Name, Email, Phone) SELECT 'Alex Yang Steven','alex.yang@bentley.com','861059297013' WHERE NOT EXISTS (SELECT Name FROM Contact WHERE Name = 'Alex Yang Steven');</v>
      </c>
      <c r="AF20" t="str">
        <f>contactsSQL('Master Table'!AF20)</f>
        <v>INSERT INTO Contact (Name, Email, Phone) SELECT 'Alex Yang Steven','alex.yang@bentley.com','861059297013' WHERE NOT EXISTS (SELECT Name FROM Contact WHERE Name = 'Alex Yang Steven');</v>
      </c>
      <c r="AG20" t="str">
        <f>contactsSQL('Master Table'!AG20)</f>
        <v>INSERT INTO Contact (Name, Email, Phone) SELECT 'Alex Yang Steven','alex.yang@bentley.com','861059297013' WHERE NOT EXISTS (SELECT Name FROM Contact WHERE Name = 'Alex Yang Steven');</v>
      </c>
      <c r="AH20" t="str">
        <f>contactsSQL('Master Table'!AH20)</f>
        <v>INSERT INTO Contact (Name, Email, Phone) SELECT 'Xiuxia Wang','Xiuxia.Wang@bentley.com','861059297161' WHERE NOT EXISTS (SELECT Name FROM Contact WHERE Name = 'Xiuxia Wang');INSERT INTO Contact (Name, Email, Phone) SELECT 'Steven Chau','steven.chau@bentley.com','6566926584' WHERE NOT EXISTS (SELECT Name FROM Contact WHERE Name = 'Steven Chau');</v>
      </c>
      <c r="AI20" t="str">
        <f>contactsSQL('Master Table'!AI20)</f>
        <v>INSERT INTO Contact (Name, Email, Phone) SELECT 'Peimeng Liu','Peimeng.Liu@bentley.com','861059297089' WHERE NOT EXISTS (SELECT Name FROM Contact WHERE Name = 'Peimeng Liu');</v>
      </c>
      <c r="AJ20" t="str">
        <f>contactsSQL('Master Table'!AJ20)</f>
        <v>INSERT INTO Contact (Name, Email, Phone) SELECT 'George Castle','George.Castle@bentley.com','12148507553' WHERE NOT EXISTS (SELECT Name FROM Contact WHERE Name = 'George Castle');</v>
      </c>
      <c r="AK20" t="str">
        <f>contactsSQL('Master Table'!AK20)</f>
        <v>INSERT INTO Contact (Name, Email, Phone) SELECT 'David Smith','David.Smith@bentley.com','441349865554' WHERE NOT EXISTS (SELECT Name FROM Contact WHERE Name = 'David Smith');</v>
      </c>
      <c r="AL20" t="str">
        <f>contactsSQL('Master Table'!AL20)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M20" t="str">
        <f>contactsSQL('Master Table'!AM20)</f>
        <v>INSERT INTO Contact (Name, Email, Phone) SELECT 'Gaurav Malik','Gaurav.Malik@bentley.com','91' WHERE NOT EXISTS (SELECT Name FROM Contact WHERE Name = 'Gaurav Malik');INSERT INTO Contact (Name, Email, Phone) SELECT 'Suneet Manjavkar','Suneet.Manjavkar@bentley.com','1149021128' WHERE NOT EXISTS (SELECT Name FROM Contact WHERE Name = 'Suneet Manjavkar');</v>
      </c>
      <c r="AN20" t="str">
        <f>contactsSQL('Master Table'!AN20)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O20" t="str">
        <f>contactsSQL('Master Table'!AO20)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20" t="str">
        <f>contactsSQL('Master Table'!AP20)</f>
        <v>INSERT INTO Contact (Name, Email, Phone) SELECT 'Vincent Ng','Vincent.Ng@bentley.com','60379403432' WHERE NOT EXISTS (SELECT Name FROM Contact WHERE Name = 'Vincent Ng');</v>
      </c>
      <c r="AQ20" t="str">
        <f>contactsSQL('Master Table'!AQ20)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20" t="str">
        <f>contactsSQL('Master Table'!AR20)</f>
        <v>INSERT INTO Contact (Name, Email, Phone) SELECT 'Dan Vogen','Dan.Vogen@bentley.com','16309816500' WHERE NOT EXISTS (SELECT Name FROM Contact WHERE Name = 'Dan Vogen');</v>
      </c>
      <c r="AS20" t="str">
        <f>contactsSQL('Master Table'!AS20)</f>
        <v>INSERT INTO Contact (Name, Email, Phone) SELECT 'David Smith','David.Smith@bentley.com','441349865554' WHERE NOT EXISTS (SELECT Name FROM Contact WHERE Name = 'David Smith');</v>
      </c>
      <c r="AT20" t="str">
        <f>contactsSQL('Master Table'!AT20)</f>
        <v>INSERT INTO Contact (Name, Email, Phone) SELECT 'Ben Witter','Ben.Witter@bentley.com','12676642491' WHERE NOT EXISTS (SELECT Name FROM Contact WHERE Name = 'Ben Witter');</v>
      </c>
      <c r="AU20" t="str">
        <f>contactsSQL('Master Table'!AU20)</f>
        <v>INSERT INTO Contact (Name, Email, Phone) SELECT 'Eric Crivella','Eric.Crivella@bentley.com','18322172802' WHERE NOT EXISTS (SELECT Name FROM Contact WHERE Name = 'Eric Crivella');</v>
      </c>
      <c r="AV20" t="str">
        <f>contactsSQL('Master Table'!AV20)</f>
        <v>INSERT INTO Contact (Name, Email, Phone) SELECT 'Paul King','Paul.King@bentley.com','61288778810' WHERE NOT EXISTS (SELECT Name FROM Contact WHERE Name = 'Paul King');</v>
      </c>
      <c r="AW20" t="str">
        <f>contactsSQL('Master Table'!AW20)</f>
        <v>INSERT INTO Contact (Name, Email, Phone) SELECT 'Paul King','Paul.King@bentley.com','61288778810' WHERE NOT EXISTS (SELECT Name FROM Contact WHERE Name = 'Paul King');</v>
      </c>
      <c r="AX20" t="str">
        <f>contactsSQL('Master Table'!AX20)</f>
        <v>INSERT INTO Contact (Name, Email, Phone) SELECT 'Paul King','Paul.King@bentley.com','61288778810' WHERE NOT EXISTS (SELECT Name FROM Contact WHERE Name = 'Paul King');</v>
      </c>
      <c r="AY20" t="str">
        <f>contactsSQL('Master Table'!AY20)</f>
        <v>INSERT INTO Contact (Name, Email, Phone) SELECT 'Paul King','Paul.King@bentley.com','61288778810' WHERE NOT EXISTS (SELECT Name FROM Contact WHERE Name = 'Paul King');</v>
      </c>
      <c r="AZ20" t="str">
        <f>contactsSQL('Master Table'!AZ20)</f>
        <v>INSERT INTO Contact (Name, Email, Phone) SELECT 'Paul King','Paul.King@bentley.com','61288778810' WHERE NOT EXISTS (SELECT Name FROM Contact WHERE Name = 'Paul King');</v>
      </c>
      <c r="BA20" t="str">
        <f>contactsSQL('Master Table'!BA20)</f>
        <v>INSERT INTO Contact (Name, Email, Phone) SELECT 'Paul King','Paul.King@bentley.com','61288778810' WHERE NOT EXISTS (SELECT Name FROM Contact WHERE Name = 'Paul King');</v>
      </c>
      <c r="BB20" t="str">
        <f>contactsSQL('Master Table'!BB20)</f>
        <v>INSERT INTO Contact (Name, Email, Phone) SELECT 'Paul King','Paul.King@bentley.com','61288778810' WHERE NOT EXISTS (SELECT Name FROM Contact WHERE Name = 'Paul King');</v>
      </c>
      <c r="BC20" t="str">
        <f>contactsSQL('Master Table'!BC20)</f>
        <v>INSERT INTO Contact (Name, Email, Phone) SELECT 'Paul King','Paul.King@bentley.com','61288778810' WHERE NOT EXISTS (SELECT Name FROM Contact WHERE Name = 'Paul King');</v>
      </c>
      <c r="BD20" t="str">
        <f>contactsSQL('Master Table'!BD20)</f>
        <v>INSERT INTO Contact (Name, Email, Phone) SELECT 'Peng Du','peng.du@bentley.com','861059297003' WHERE NOT EXISTS (SELECT Name FROM Contact WHERE Name = 'Peng Du');</v>
      </c>
      <c r="BE20" t="str">
        <f>contactsSQL('Master Table'!BE20)</f>
        <v>INSERT INTO Contact (Name, Email, Phone) SELECT 'Eric Crivella','Eric.Crivella@bentley.com','18322172802' WHERE NOT EXISTS (SELECT Name FROM Contact WHERE Name = 'Eric Crivella');</v>
      </c>
      <c r="BF20" t="str">
        <f>contactsSQL('Master Table'!BF20)</f>
        <v>INSERT INTO Contact (Name, Email, Phone) SELECT 'Eric Law','Eric.Law@bentley.com','15102502114' WHERE NOT EXISTS (SELECT Name FROM Contact WHERE Name = 'Eric Law');</v>
      </c>
      <c r="BG20" t="str">
        <f>contactsSQL('Master Table'!BG20)</f>
        <v>INSERT INTO Contact (Name, Email, Phone) SELECT 'Paul King','Paul.King@bentley.com','61288778810' WHERE NOT EXISTS (SELECT Name FROM Contact WHERE Name = 'Paul King');</v>
      </c>
      <c r="BH20" t="str">
        <f>contactsSQL('Master Table'!BH20)</f>
        <v>INSERT INTO Contact (Name, Email, Phone) SELECT 'Paul King','Paul.King@bentley.com','61288778810' WHERE NOT EXISTS (SELECT Name FROM Contact WHERE Name = 'Paul King');</v>
      </c>
      <c r="BI20" t="str">
        <f>contactsSQL('Master Table'!BI20)</f>
        <v>INSERT INTO Contact (Name, Email, Phone) SELECT 'Paul King','Paul.King@bentley.com','61288778810' WHERE NOT EXISTS (SELECT Name FROM Contact WHERE Name = 'Paul King');</v>
      </c>
      <c r="BJ20" t="str">
        <f>contactsSQL('Master Table'!BJ20)</f>
        <v>INSERT INTO Contact (Name, Email, Phone) SELECT 'Paul King','Paul.King@bentley.com','61288778810' WHERE NOT EXISTS (SELECT Name FROM Contact WHERE Name = 'Paul King');</v>
      </c>
      <c r="BK20" t="str">
        <f>contactsSQL('Master Table'!BK20)</f>
        <v>INSERT INTO Contact (Name, Email, Phone) SELECT 'Paul King','Paul.King@bentley.com','61288778810' WHERE NOT EXISTS (SELECT Name FROM Contact WHERE Name = 'Paul King');</v>
      </c>
      <c r="BL20" t="str">
        <f>contactsSQL('Master Table'!BL20)</f>
        <v>INSERT INTO Contact (Name, Email, Phone) SELECT 'Paul King','Paul.King@bentley.com','61288778810' WHERE NOT EXISTS (SELECT Name FROM Contact WHERE Name = 'Paul King');</v>
      </c>
    </row>
    <row r="21" spans="3:64" x14ac:dyDescent="0.25">
      <c r="C21" t="str">
        <f>contactsSQL('Master Table'!C21)</f>
        <v>INSERT INTO Contact (Name, Email, Phone) SELECT 'Carlos Aguera','Carlos.Aguera@bentley.com','442078610973' WHERE NOT EXISTS (SELECT Name FROM Contact WHERE Name = 'Carlos Aguera');</v>
      </c>
      <c r="D21" t="str">
        <f>contactsSQL('Master Table'!D21)</f>
        <v>INSERT INTO Contact (Name, Email, Phone) SELECT 'Allen Adams','Allen.Adams@bentley.com','17604313610' WHERE NOT EXISTS (SELECT Name FROM Contact WHERE Name = 'Allen Adams');</v>
      </c>
      <c r="E21" t="str">
        <f>contactsSQL('Master Table'!E21)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21" t="str">
        <f>contactsSQL('Master Table'!F21)</f>
        <v>INSERT INTO Contact (Name, Email, Phone) SELECT 'Parvinder Jhita','Parvinder.Jhita@bentley.com','1' WHERE NOT EXISTS (SELECT Name FROM Contact WHERE Name = 'Parvinder Jhita');</v>
      </c>
      <c r="G21" t="str">
        <f>contactsSQL('Master Table'!G21)</f>
        <v>INSERT INTO Contact (Name, Email, Phone) SELECT 'Pat Couser','Pat.Couser@bentley.com','' WHERE NOT EXISTS (SELECT Name FROM Contact WHERE Name = 'Pat Couser');</v>
      </c>
      <c r="H21" t="str">
        <f>contactsSQL('Master Table'!H21)</f>
        <v>INSERT INTO Contact (Name, Email, Phone) SELECT 'Georgina Maldonado','Georgina.Maldonado@bentley.com','7133608369' WHERE NOT EXISTS (SELECT Name FROM Contact WHERE Name = 'Georgina Maldonado');</v>
      </c>
      <c r="I21" t="str">
        <f>contactsSQL('Master Table'!I21)</f>
        <v>INSERT INTO Contact (Name, Email, Phone) SELECT 'Gregor Strekelj','Gregor.Strekelj@bentley.com','4331682153165' WHERE NOT EXISTS (SELECT Name FROM Contact WHERE Name = 'Gregor Strekelj');</v>
      </c>
      <c r="J21" t="str">
        <f>contactsSQL('Master Table'!J21)</f>
        <v>INSERT INTO Contact (Name, Email, Phone) SELECT 'Xin Luo','Xin.Luo@bentley.com','19543439359' WHERE NOT EXISTS (SELECT Name FROM Contact WHERE Name = 'Xin Luo');</v>
      </c>
      <c r="K21" t="str">
        <f>contactsSQL('Master Table'!K21)</f>
        <v>INSERT INTO Contact (Name, Email, Phone) SELECT 'Sri Kanneganti','Sri.Kanneganti@bentley.com','19543439325' WHERE NOT EXISTS (SELECT Name FROM Contact WHERE Name = 'Sri Kanneganti');</v>
      </c>
      <c r="L21" t="str">
        <f>contactsSQL('Master Table'!L21)</f>
        <v>INSERT INTO Contact (Name, Email, Phone) SELECT 'Bill Beyer','Bill.Beyer@bentley.com','18166667568' WHERE NOT EXISTS (SELECT Name FROM Contact WHERE Name = 'Bill Beyer');</v>
      </c>
      <c r="M21" t="str">
        <f>contactsSQL('Master Table'!M21)</f>
        <v>INSERT INTO Contact (Name, Email, Phone) SELECT 'David Settlemeyer','David.Settlemyer@bentley.com','16103214610' WHERE NOT EXISTS (SELECT Name FROM Contact WHERE Name = 'David Settlemeyer');</v>
      </c>
      <c r="N21" t="str">
        <f>contactsSQL('Master Table'!N21)</f>
        <v>INSERT INTO Contact (Name, Email, Phone) SELECT 'Andy Smith','Andy.Smith@bentley.com','7046630319' WHERE NOT EXISTS (SELECT Name FROM Contact WHERE Name = 'Andy Smith');</v>
      </c>
      <c r="O21" t="str">
        <f>contactsSQL('Master Table'!O21)</f>
        <v>INSERT INTO Contact (Name, Email, Phone) SELECT 'Andy Smith','Andy.Smith@bentley.com','7046630319' WHERE NOT EXISTS (SELECT Name FROM Contact WHERE Name = 'Andy Smith');</v>
      </c>
      <c r="P21" t="str">
        <f>contactsSQL('Master Table'!P21)</f>
        <v>INSERT INTO Contact (Name, Email, Phone) SELECT 'Paul Demetriou','Paul.Demetriou@bentley.com','12088879204' WHERE NOT EXISTS (SELECT Name FROM Contact WHERE Name = 'Paul Demetriou');</v>
      </c>
      <c r="Q21" t="str">
        <f>contactsSQL('Master Table'!Q21)</f>
        <v>INSERT INTO Contact (Name, Email, Phone) SELECT 'Ian Rosam','Ian.Rosam@bentley.com','442078610313' WHERE NOT EXISTS (SELECT Name FROM Contact WHERE Name = 'Ian Rosam');</v>
      </c>
      <c r="R21" t="str">
        <f>contactsSQL('Master Table'!R21)</f>
        <v>INSERT INTO Contact (Name, Email, Phone) SELECT 'Ian Rosam','Ian.Rosam@bentley.com','442078610313' WHERE NOT EXISTS (SELECT Name FROM Contact WHERE Name = 'Ian Rosam');</v>
      </c>
      <c r="S21" t="str">
        <f>contactsSQL('Master Table'!S21)</f>
        <v>INSERT INTO Contact (Name, Email, Phone) SELECT 'Ian Rosam','Ian.Rosam@bentley.com','442078610313' WHERE NOT EXISTS (SELECT Name FROM Contact WHERE Name = 'Ian Rosam');</v>
      </c>
      <c r="T21" t="str">
        <f>contactsSQL('Master Table'!T21)</f>
        <v>INSERT INTO Contact (Name, Email, Phone) SELECT 'Kivanc Karakas','Kivanc.Karakas@bentley.com','442078610339' WHERE NOT EXISTS (SELECT Name FROM Contact WHERE Name = 'Kivanc Karakas');</v>
      </c>
      <c r="U21" t="str">
        <f>contactsSQL('Master Table'!U21)</f>
        <v>INSERT INTO Contact (Name, Email, Phone) SELECT 'Ian Rosam','Ian.Rosam@bentley.com','442078610313' WHERE NOT EXISTS (SELECT Name FROM Contact WHERE Name = 'Ian Rosam');</v>
      </c>
      <c r="V21" t="str">
        <f>contactsSQL('Master Table'!V21)</f>
        <v>INSERT INTO Contact (Name, Email, Phone) SELECT 'Francois Valois','Francois.Valois@bentley.com','15817817522' WHERE NOT EXISTS (SELECT Name FROM Contact WHERE Name = 'Francois Valois');</v>
      </c>
      <c r="W21" t="str">
        <f>contactsSQL('Master Table'!W21)</f>
        <v>INSERT INTO Contact (Name, Email, Phone) SELECT 'Nicolas Loubier','Nicolas.Loubier@bentley.com','15817817567' WHERE NOT EXISTS (SELECT Name FROM Contact WHERE Name = 'Nicolas Loubier');</v>
      </c>
      <c r="X21" t="str">
        <f>contactsSQL('Master Table'!X21)</f>
        <v>INSERT INTO Contact (Name, Email, Phone) SELECT 'Adnan Ulhaq','Adnan.Ulhaq@bentley.com','92512078422' WHERE NOT EXISTS (SELECT Name FROM Contact WHERE Name = 'Adnan Ulhaq');</v>
      </c>
      <c r="Y21" t="str">
        <f>contactsSQL('Master Table'!Y21)</f>
        <v>INSERT INTO Contact (Name, Email, Phone) SELECT 'Tim Lawrence','Tim.Lawrence@bentley.com','15873158588' WHERE NOT EXISTS (SELECT Name FROM Contact WHERE Name = 'Tim Lawrence');</v>
      </c>
      <c r="Z21" t="str">
        <f>contactsSQL('Master Table'!Z21)</f>
        <v>INSERT INTO Contact (Name, Email, Phone) SELECT 'Abbas Ali','','16104583160' WHERE NOT EXISTS (SELECT Name FROM Contact WHERE Name = 'Abbas Ali');</v>
      </c>
      <c r="AA21" t="str">
        <f>contactsSQL('Master Table'!AA21)</f>
        <v>INSERT INTO Contact (Name, Email, Phone) SELECT 'Rob Harper','Rob.Harper@bentley.com','17137303385' WHERE NOT EXISTS (SELECT Name FROM Contact WHERE Name = 'Rob Harper');</v>
      </c>
      <c r="AB21" t="str">
        <f>contactsSQL('Master Table'!AB21)</f>
        <v>INSERT INTO Contact (Name, Email, Phone) SELECT 'Alain Beland','Alain.Beland@bentley.com','14188802022' WHERE NOT EXISTS (SELECT Name FROM Contact WHERE Name = 'Alain Beland');</v>
      </c>
      <c r="AC21" t="str">
        <f>contactsSQL('Master Table'!AC21)</f>
        <v>INSERT INTO Contact (Name, Email, Phone) SELECT 'Tim Lawrence','Tim.Lawrence@bentley.com','15873158588' WHERE NOT EXISTS (SELECT Name FROM Contact WHERE Name = 'Tim Lawrence');</v>
      </c>
      <c r="AD21" t="str">
        <f>contactsSQL('Master Table'!AD21)</f>
        <v>INSERT INTO Contact (Name, Email, Phone) SELECT 'Benoit Frederique','Benoit.Fredericque@bentley.com','' WHERE NOT EXISTS (SELECT Name FROM Contact WHERE Name = 'Benoit Frederique');</v>
      </c>
      <c r="AE21" t="str">
        <f>contactsSQL('Master Table'!AE21)</f>
        <v>INSERT INTO Contact (Name, Email, Phone) SELECT 'Benoit Frederique','Benoit.Fredericque@bentley.com','' WHERE NOT EXISTS (SELECT Name FROM Contact WHERE Name = 'Benoit Frederique');</v>
      </c>
      <c r="AF21" t="str">
        <f>contactsSQL('Master Table'!AF21)</f>
        <v>INSERT INTO Contact (Name, Email, Phone) SELECT 'Benoit Frederique','Benoit.Fredericque@bentley.com','' WHERE NOT EXISTS (SELECT Name FROM Contact WHERE Name = 'Benoit Frederique');</v>
      </c>
      <c r="AG21" t="str">
        <f>contactsSQL('Master Table'!AG21)</f>
        <v>INSERT INTO Contact (Name, Email, Phone) SELECT 'Benoit Frederique','Benoit.Fredericque@bentley.com','' WHERE NOT EXISTS (SELECT Name FROM Contact WHERE Name = 'Benoit Frederique');</v>
      </c>
      <c r="AH21" t="str">
        <f>contactsSQL('Master Table'!AH21)</f>
        <v>INSERT INTO Contact (Name, Email, Phone) SELECT 'Jim Barr','Jim.Barr@bentley.com','12567241520' WHERE NOT EXISTS (SELECT Name FROM Contact WHERE Name = 'Jim Barr');</v>
      </c>
      <c r="AI21" t="str">
        <f>contactsSQL('Master Table'!AI21)</f>
        <v>INSERT INTO Contact (Name, Email, Phone) SELECT 'Slavica Bozic','Slavica.Bozic@bentley.com','16302338281' WHERE NOT EXISTS (SELECT Name FROM Contact WHERE Name = 'Slavica Bozic');</v>
      </c>
      <c r="AJ21" t="str">
        <f>contactsSQL('Master Table'!AJ21)</f>
        <v>INSERT INTO Contact (Name, Email, Phone) SELECT 'Jim Newman','Jim.Newman@bentley.com','17044332566' WHERE NOT EXISTS (SELECT Name FROM Contact WHERE Name = 'Jim Newman');</v>
      </c>
      <c r="AK21" t="str">
        <f>contactsSQL('Master Table'!AK21)</f>
        <v>INSERT INTO Contact (Name, Email, Phone) SELECT 'Aaron Beazley','Aaron.Beazley@bentley.com','12898162642' WHERE NOT EXISTS (SELECT Name FROM Contact WHERE Name = 'Aaron Beazley');</v>
      </c>
      <c r="AL21" t="str">
        <f>contactsSQL('Master Table'!AL21)</f>
        <v>INSERT INTO Contact (Name, Email, Phone) SELECT 'Gijsbert Noordam','Gijsbert.Noordam@bentley.com','31235560626' WHERE NOT EXISTS (SELECT Name FROM Contact WHERE Name = 'Gijsbert Noordam');</v>
      </c>
      <c r="AM21" t="str">
        <f>contactsSQL('Master Table'!AM21)</f>
        <v>INSERT INTO Contact (Name, Email, Phone) SELECT 'Gregg Herrin','Gregg.Herrin@bentley.com','16104583188' WHERE NOT EXISTS (SELECT Name FROM Contact WHERE Name = 'Gregg Herrin');</v>
      </c>
      <c r="AN21" t="str">
        <f>contactsSQL('Master Table'!AN21)</f>
        <v>INSERT INTO Contact (Name, Email, Phone) SELECT 'Gijsbert Noordam','Gijsbert.Noordam@bentley.com','31235560626' WHERE NOT EXISTS (SELECT Name FROM Contact WHERE Name = 'Gijsbert Noordam');</v>
      </c>
      <c r="AO21" t="str">
        <f>contactsSQL('Master Table'!AO21)</f>
        <v>INSERT INTO Contact (Name, Email, Phone) SELECT 'Russell Page','Russell.Page@bentley.com','13032210689' WHERE NOT EXISTS (SELECT Name FROM Contact WHERE Name = 'Russell Page');</v>
      </c>
      <c r="AP21" t="str">
        <f>contactsSQL('Master Table'!AP21)</f>
        <v>INSERT INTO Contact (Name, Email, Phone) SELECT 'Mal Sharkey','Mal.Sharkey@bentley.com','61396978623' WHERE NOT EXISTS (SELECT Name FROM Contact WHERE Name = 'Mal Sharkey');</v>
      </c>
      <c r="AQ21" t="str">
        <f>contactsSQL('Master Table'!AQ21)</f>
        <v>INSERT INTO Contact (Name, Email, Phone) SELECT 'Aaron Beazily','Aaron.Beazley@bentley.com','12898162642' WHERE NOT EXISTS (SELECT Name FROM Contact WHERE Name = 'Aaron Beazily');</v>
      </c>
      <c r="AR21" t="str">
        <f>contactsSQL('Master Table'!AR21)</f>
        <v>INSERT INTO Contact (Name, Email, Phone) SELECT 'Jim Scott','Jim.Scott@bentley.com','13039670864' WHERE NOT EXISTS (SELECT Name FROM Contact WHERE Name = 'Jim Scott');</v>
      </c>
      <c r="AS21" t="str">
        <f>contactsSQL('Master Table'!AS21)</f>
        <v>INSERT INTO Contact (Name, Email, Phone) SELECT 'Duncan Rodger','Duncan.Rodger@bentley.com','441349865554' WHERE NOT EXISTS (SELECT Name FROM Contact WHERE Name = 'Duncan Rodger');</v>
      </c>
      <c r="AT21" t="str">
        <f>contactsSQL('Master Table'!AT21)</f>
        <v>INSERT INTO Contact (Name, Email, Phone) SELECT 'Taylor Gilmore','Taylor.Gilmore@bentley.com','14126811521' WHERE NOT EXISTS (SELECT Name FROM Contact WHERE Name = 'Taylor Gilmore');</v>
      </c>
      <c r="AU21" t="str">
        <f>contactsSQL('Master Table'!AU21)</f>
        <v>INSERT INTO Contact (Name, Email, Phone) SELECT 'Paolomee Udani','Paolomee.Udani@bentley.com','19252745107' WHERE NOT EXISTS (SELECT Name FROM Contact WHERE Name = 'Paolomee Udani');</v>
      </c>
      <c r="AV21" t="str">
        <f>contactsSQL('Master Table'!AV21)</f>
        <v>INSERT INTO Contact (Name, Email, Phone) SELECT 'Bill McNamara','Bill.McNamara@bentley.com','16104587602' WHERE NOT EXISTS (SELECT Name FROM Contact WHERE Name = 'Bill McNamara');</v>
      </c>
      <c r="AW21" t="str">
        <f>contactsSQL('Master Table'!AW21)</f>
        <v>INSERT INTO Contact (Name, Email, Phone) SELECT 'Bill McNamara','Bill.McNamara@bentley.com','16104587602' WHERE NOT EXISTS (SELECT Name FROM Contact WHERE Name = 'Bill McNamara');</v>
      </c>
      <c r="AX21" t="str">
        <f>contactsSQL('Master Table'!AX21)</f>
        <v>INSERT INTO Contact (Name, Email, Phone) SELECT 'Bill McNamara','Bill.McNamara@bentley.com','16104587602' WHERE NOT EXISTS (SELECT Name FROM Contact WHERE Name = 'Bill McNamara');</v>
      </c>
      <c r="AY21" t="str">
        <f>contactsSQL('Master Table'!AY21)</f>
        <v>INSERT INTO Contact (Name, Email, Phone) SELECT 'Bill McNamara','Bill.McNamara@bentley.com','16104587602' WHERE NOT EXISTS (SELECT Name FROM Contact WHERE Name = 'Bill McNamara');</v>
      </c>
      <c r="AZ21" t="str">
        <f>contactsSQL('Master Table'!AZ21)</f>
        <v>INSERT INTO Contact (Name, Email, Phone) SELECT 'Bill McNamara','Bill.McNamara@bentley.com','16104587602' WHERE NOT EXISTS (SELECT Name FROM Contact WHERE Name = 'Bill McNamara');</v>
      </c>
      <c r="BA21" t="str">
        <f>contactsSQL('Master Table'!BA21)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21" t="str">
        <f>contactsSQL('Master Table'!BB21)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21" t="str">
        <f>contactsSQL('Master Table'!BC21)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21" t="str">
        <f>contactsSQL('Master Table'!BD21)</f>
        <v>INSERT INTO Contact (Name, Email, Phone) SELECT 'Joe Granville','Joe.Granville@bentley.com','16104582951' WHERE NOT EXISTS (SELECT Name FROM Contact WHERE Name = 'Joe Granville');</v>
      </c>
      <c r="BE21" t="str">
        <f>contactsSQL('Master Table'!BE21)</f>
        <v>INSERT INTO Contact (Name, Email, Phone) SELECT 'Beth Buerger','Beth.Buerger@bentley.com','17205283380' WHERE NOT EXISTS (SELECT Name FROM Contact WHERE Name = 'Beth Buerger');</v>
      </c>
      <c r="BF21" t="str">
        <f>contactsSQL('Master Table'!BF21)</f>
        <v>INSERT INTO Contact (Name, Email, Phone) SELECT 'Sam Stuart','Sam.Stuart@bentley.com','' WHERE NOT EXISTS (SELECT Name FROM Contact WHERE Name = 'Sam Stuart');</v>
      </c>
      <c r="BG21" t="str">
        <f>contactsSQL('Master Table'!BG21)</f>
        <v>INSERT INTO Contact (Name, Email, Phone) SELECT 'Rimantas Varanavicius','imantas.Varanavicius@bentley.com','37052398145' WHERE NOT EXISTS (SELECT Name FROM Contact WHERE Name = 'Rimantas Varanavicius');</v>
      </c>
      <c r="BH21" t="str">
        <f>contactsSQL('Master Table'!BH21)</f>
        <v>INSERT INTO Contact (Name, Email, Phone) SELECT 'Jo Wright','Jo.Wright@bentley.com','12569701111' WHERE NOT EXISTS (SELECT Name FROM Contact WHERE Name = 'Jo Wright');</v>
      </c>
      <c r="BI21" t="str">
        <f>contactsSQL('Master Table'!BI21)</f>
        <v>INSERT INTO Contact (Name, Email, Phone) SELECT 'Jo Wright','Jo.Wright@bentley.com','12569701111' WHERE NOT EXISTS (SELECT Name FROM Contact WHERE Name = 'Jo Wright');</v>
      </c>
      <c r="BJ21" t="str">
        <f>contactsSQL('Master Table'!BJ21)</f>
        <v>INSERT INTO Contact (Name, Email, Phone) SELECT 'Jo Wright','Jo.Wright@bentley.com','12569701111' WHERE NOT EXISTS (SELECT Name FROM Contact WHERE Name = 'Jo Wright');</v>
      </c>
      <c r="BK21" t="str">
        <f>contactsSQL('Master Table'!BK21)</f>
        <v>INSERT INTO Contact (Name, Email, Phone) SELECT 'Jo Wright','Jo.Wright@bentley.com','12569701111' WHERE NOT EXISTS (SELECT Name FROM Contact WHERE Name = 'Jo Wright');</v>
      </c>
      <c r="BL21" t="str">
        <f>contactsSQL('Master Table'!BL21)</f>
        <v>INSERT INTO Contact (Name, Email, Phone) SELECT 'Jo Wright','Jo.Wright@bentley.com','12569701111' WHERE NOT EXISTS (SELECT Name FROM Contact WHERE Name = 'Jo Wright');</v>
      </c>
    </row>
    <row r="22" spans="3:64" x14ac:dyDescent="0.25">
      <c r="C22" t="str">
        <f>contactsSQL('Master Table'!C22)</f>
        <v>INSERT INTO Contact (Name, Email, Phone) SELECT 'Madhan Elumalai','Madhan.Elumalai@bentley.com','6566926578' WHERE NOT EXISTS (SELECT Name FROM Contact WHERE Name = 'Madhan Elumalai');</v>
      </c>
      <c r="D22" t="str">
        <f>contactsSQL('Master Table'!D22)</f>
        <v>INSERT INTO Contact (Name, Email, Phone) SELECT 'Madhan Elumalai','Madhan.Elumalai@bentley.com','6566926578' WHERE NOT EXISTS (SELECT Name FROM Contact WHERE Name = 'Madhan Elumalai');</v>
      </c>
      <c r="E22" t="str">
        <f>contactsSQL('Master Table'!E22)</f>
        <v>INSERT INTO Contact (Name, Email, Phone) SELECT 'Madhan Elumalai','Madhan.Elumalai@bentley.com','6566926578' WHERE NOT EXISTS (SELECT Name FROM Contact WHERE Name = 'Madhan Elumalai');</v>
      </c>
      <c r="F22" t="str">
        <f>contactsSQL('Master Table'!F22)</f>
        <v>INSERT INTO Contact (Name, Email, Phone) SELECT 'Kevin Meng','Kevin.Meng@bentley.com','861059297108' WHERE NOT EXISTS (SELECT Name FROM Contact WHERE Name = 'Kevin Meng');</v>
      </c>
      <c r="G22" t="str">
        <f>contactsSQL('Master Table'!G22)</f>
        <v>INSERT INTO Contact (Name, Email, Phone) SELECT 'Ian Sevilla','Ian.Sevilla@bentley.com','61894311511' WHERE NOT EXISTS (SELECT Name FROM Contact WHERE Name = 'Ian Sevilla');</v>
      </c>
      <c r="H22" t="str">
        <f>contactsSQL('Master Table'!H22)</f>
        <v>INSERT INTO Contact (Name, Email, Phone) SELECT 'Rupesh Kumar','Rupesh.Kumar@bentley.com','160379403439' WHERE NOT EXISTS (SELECT Name FROM Contact WHERE Name = 'Rupesh Kumar');</v>
      </c>
      <c r="I22" t="str">
        <f>contactsSQL('Master Table'!I22)</f>
        <v>INSERT INTO Contact (Name, Email, Phone) SELECT 'Ignacio Almagro','Ignacio.Almagro@bentley.com','19543439336' WHERE NOT EXISTS (SELECT Name FROM Contact WHERE Name = 'Ignacio Almagro');</v>
      </c>
      <c r="J22" t="str">
        <f>contactsSQL('Master Table'!J22)</f>
        <v>INSERT INTO Contact (Name, Email, Phone) SELECT 'Ignacio Almagro','Ignacio.Almagro@bentley.com','19543439336' WHERE NOT EXISTS (SELECT Name FROM Contact WHERE Name = 'Ignacio Almagro');</v>
      </c>
      <c r="K22" t="str">
        <f>contactsSQL('Master Table'!K22)</f>
        <v>INSERT INTO Contact (Name, Email, Phone) SELECT 'Ignacio Almagro','Ignacio.Almagro@bentley.com','19543439336' WHERE NOT EXISTS (SELECT Name FROM Contact WHERE Name = 'Ignacio Almagro');</v>
      </c>
      <c r="L22" t="str">
        <f>contactsSQL('Master Table'!L22)</f>
        <v>INSERT INTO Contact (Name, Email, Phone) SELECT 'Ignacio Almagro','Ignacio.Almagro@bentley.com','19543439336' WHERE NOT EXISTS (SELECT Name FROM Contact WHERE Name = 'Ignacio Almagro');</v>
      </c>
      <c r="M22" t="str">
        <f>contactsSQL('Master Table'!M22)</f>
        <v>INSERT INTO Contact (Name, Email, Phone) SELECT 'Chris Croucher','Chris.Croucher@bentley.com','16103214606' WHERE NOT EXISTS (SELECT Name FROM Contact WHERE Name = 'Chris Croucher');</v>
      </c>
      <c r="N22" t="str">
        <f>contactsSQL('Master Table'!N22)</f>
        <v>INSERT INTO Contact (Name, Email, Phone) SELECT 'Shunnai Zhao','ShunNai.Zhao@bentley.com','861059297039' WHERE NOT EXISTS (SELECT Name FROM Contact WHERE Name = 'Shunnai Zhao');</v>
      </c>
      <c r="O22" t="str">
        <f>contactsSQL('Master Table'!O22)</f>
        <v>INSERT INTO Contact (Name, Email, Phone) SELECT 'Steve Brown','Steve.Brown@bentley.com','44' WHERE NOT EXISTS (SELECT Name FROM Contact WHERE Name = 'Steve Brown');</v>
      </c>
      <c r="P22" t="str">
        <f>contactsSQL('Master Table'!P22)</f>
        <v>INSERT INTO Contact (Name, Email, Phone) SELECT 'Steve Brown','Steve.Brown@bentley.com','44' WHERE NOT EXISTS (SELECT Name FROM Contact WHERE Name = 'Steve Brown');</v>
      </c>
      <c r="Q22" t="str">
        <f>contactsSQL('Master Table'!Q22)</f>
        <v>INSERT INTO Contact (Name, Email, Phone) SELECT 'Chen Chen','Chen.Chen@bentley.com','861059297008' WHERE NOT EXISTS (SELECT Name FROM Contact WHERE Name = 'Chen Chen');</v>
      </c>
      <c r="R22" t="str">
        <f>contactsSQL('Master Table'!R22)</f>
        <v>INSERT INTO Contact (Name, Email, Phone) SELECT 'Chen Chen','Chen.Chen@bentley.com','861059297008' WHERE NOT EXISTS (SELECT Name FROM Contact WHERE Name = 'Chen Chen');</v>
      </c>
      <c r="S22" t="str">
        <f>contactsSQL('Master Table'!S22)</f>
        <v>INSERT INTO Contact (Name, Email, Phone) SELECT 'Chen Chen','Chen.Chen@bentley.com','861059297008' WHERE NOT EXISTS (SELECT Name FROM Contact WHERE Name = 'Chen Chen');</v>
      </c>
      <c r="T22" t="str">
        <f>contactsSQL('Master Table'!T22)</f>
        <v/>
      </c>
      <c r="U22" t="str">
        <f>contactsSQL('Master Table'!U22)</f>
        <v>INSERT INTO Contact (Name, Email, Phone) SELECT 'Chen Chen','Chen.Chen@bentley.com','861059297008' WHERE NOT EXISTS (SELECT Name FROM Contact WHERE Name = 'Chen Chen');</v>
      </c>
      <c r="V22" t="str">
        <f>contactsSQL('Master Table'!V22)</f>
        <v/>
      </c>
      <c r="W22" t="str">
        <f>contactsSQL('Master Table'!W22)</f>
        <v>INSERT INTO Contact (Name, Email, Phone) SELECT 'Jimmy Lau','Jimmy.Lau@bentley.com','185228021882' WHERE NOT EXISTS (SELECT Name FROM Contact WHERE Name = 'Jimmy Lau');</v>
      </c>
      <c r="X22" t="str">
        <f>contactsSQL('Master Table'!X22)</f>
        <v>INSERT INTO Contact (Name, Email, Phone) SELECT 'Peng Shan','Peng.Shan@bentley.com','861059297012' WHERE NOT EXISTS (SELECT Name FROM Contact WHERE Name = 'Peng Shan');</v>
      </c>
      <c r="Y22" t="str">
        <f>contactsSQL('Master Table'!Y22)</f>
        <v>INSERT INTO Contact (Name, Email, Phone) SELECT 'Tim Lawrence','Tim.Lawrence@bentley.com','15873158588' WHERE NOT EXISTS (SELECT Name FROM Contact WHERE Name = 'Tim Lawrence');</v>
      </c>
      <c r="Z22" t="str">
        <f>contactsSQL('Master Table'!Z22)</f>
        <v>INSERT INTO Contact (Name, Email, Phone) SELECT 'Jia Wen','Jia.Wen@bentley.com','861059297010' WHERE NOT EXISTS (SELECT Name FROM Contact WHERE Name = 'Jia Wen');</v>
      </c>
      <c r="AA22" t="str">
        <f>contactsSQL('Master Table'!AA22)</f>
        <v>INSERT INTO Contact (Name, Email, Phone) SELECT 'Jawwad Baig','Jawwad.Baig@bentley.com','61732704304' WHERE NOT EXISTS (SELECT Name FROM Contact WHERE Name = 'Jawwad Baig');</v>
      </c>
      <c r="AB22" t="str">
        <f>contactsSQL('Master Table'!AB22)</f>
        <v>INSERT INTO Contact (Name, Email, Phone) SELECT 'Alain Beland','Alain.Beland@bentley.com','14188802022' WHERE NOT EXISTS (SELECT Name FROM Contact WHERE Name = 'Alain Beland');</v>
      </c>
      <c r="AC22" t="str">
        <f>contactsSQL('Master Table'!AC22)</f>
        <v>INSERT INTO Contact (Name, Email, Phone) SELECT 'Peter Alspaugh','Peter.Alspaugh@bentley.com','18322172816' WHERE NOT EXISTS (SELECT Name FROM Contact WHERE Name = 'Peter Alspaugh');</v>
      </c>
      <c r="AD22" t="str">
        <f>contactsSQL('Master Table'!AD22)</f>
        <v>INSERT INTO Contact (Name, Email, Phone) SELECT 'Felix Zhou','Felix.Zhou@bentley.com','862122873806' WHERE NOT EXISTS (SELECT Name FROM Contact WHERE Name = 'Felix Zhou');</v>
      </c>
      <c r="AE22" t="str">
        <f>contactsSQL('Master Table'!AE22)</f>
        <v>INSERT INTO Contact (Name, Email, Phone) SELECT 'Felix Zhou','Felix.Zhou@bentley.com','862122873806' WHERE NOT EXISTS (SELECT Name FROM Contact WHERE Name = 'Felix Zhou');</v>
      </c>
      <c r="AF22" t="str">
        <f>contactsSQL('Master Table'!AF22)</f>
        <v>INSERT INTO Contact (Name, Email, Phone) SELECT 'Felix Zhou','Felix.Zhou@bentley.com','862122873806' WHERE NOT EXISTS (SELECT Name FROM Contact WHERE Name = 'Felix Zhou');</v>
      </c>
      <c r="AG22" t="str">
        <f>contactsSQL('Master Table'!AG22)</f>
        <v>INSERT INTO Contact (Name, Email, Phone) SELECT 'Felix Zhou','Felix.Zhou@bentley.com','862122873806' WHERE NOT EXISTS (SELECT Name FROM Contact WHERE Name = 'Felix Zhou');</v>
      </c>
      <c r="AH22" t="str">
        <f>contactsSQL('Master Table'!AH22)</f>
        <v>INSERT INTO Contact (Name, Email, Phone) SELECT 'Electra Lin','Electra.Lin@bentley.com','861082143097' WHERE NOT EXISTS (SELECT Name FROM Contact WHERE Name = 'Electra Lin');INSERT INTO Contact (Name, Email, Phone) SELECT 'Kaile Wang','Kaile.Wang@bentley.com','861059297116' WHERE NOT EXISTS (SELECT Name FROM Contact WHERE Name = 'Kaile Wang');</v>
      </c>
      <c r="AI22" t="str">
        <f>contactsSQL('Master Table'!AI22)</f>
        <v>INSERT INTO Contact (Name, Email, Phone) SELECT 'Zhiyuan Li','Zhiyuan.Li@bentley.com','861059297102' WHERE NOT EXISTS (SELECT Name FROM Contact WHERE Name = 'Zhiyuan Li');</v>
      </c>
      <c r="AJ22" t="str">
        <f>contactsSQL('Master Table'!AJ22)</f>
        <v>INSERT INTO Contact (Name, Email, Phone) SELECT 'Engteck Soon','Engteck.Soon@bentley.com','61396978647' WHERE NOT EXISTS (SELECT Name FROM Contact WHERE Name = 'Engteck Soon');</v>
      </c>
      <c r="AK22" t="str">
        <f>contactsSQL('Master Table'!AK22)</f>
        <v>INSERT INTO Contact (Name, Email, Phone) SELECT 'Engteck Soon','Engteck.Soon@bentley.com','61396978647' WHERE NOT EXISTS (SELECT Name FROM Contact WHERE Name = 'Engteck Soon');</v>
      </c>
      <c r="AL22" t="str">
        <f>contactsSQL('Master Table'!AL22)</f>
        <v>INSERT INTO Contact (Name, Email, Phone) SELECT 'Linda Oliveira','Linda.Oliveira@bentley.com','16104586084' WHERE NOT EXISTS (SELECT Name FROM Contact WHERE Name = 'Linda Oliveira');</v>
      </c>
      <c r="AM22" t="str">
        <f>contactsSQL('Master Table'!AM22)</f>
        <v>INSERT INTO Contact (Name, Email, Phone) SELECT 'Linda Oliveira','Linda.Oliveira@bentley.com','16104586084' WHERE NOT EXISTS (SELECT Name FROM Contact WHERE Name = 'Linda Oliveira');</v>
      </c>
      <c r="AN22" t="str">
        <f>contactsSQL('Master Table'!AN22)</f>
        <v>INSERT INTO Contact (Name, Email, Phone) SELECT 'Lon Opp','Lon.Opp@bentley.com','12569701127' WHERE NOT EXISTS (SELECT Name FROM Contact WHERE Name = 'Lon Opp');</v>
      </c>
      <c r="AO22" t="str">
        <f>contactsSQL('Master Table'!AO22)</f>
        <v>INSERT INTO Contact (Name, Email, Phone) SELECT 'Clive Hackforth','Clive.Hackforth@bentley.com','442078610933' WHERE NOT EXISTS (SELECT Name FROM Contact WHERE Name = 'Clive Hackforth');</v>
      </c>
      <c r="AP22" t="str">
        <f>contactsSQL('Master Table'!AP22)</f>
        <v>INSERT INTO Contact (Name, Email, Phone) SELECT 'MSV Rao','MSV.Rao@bentley.com','919820223761' WHERE NOT EXISTS (SELECT Name FROM Contact WHERE Name = 'MSV Rao');</v>
      </c>
      <c r="AQ22" t="str">
        <f>contactsSQL('Master Table'!AQ22)</f>
        <v>INSERT INTO Contact (Name, Email, Phone) SELECT 'Joanna Slowinska','Joanna.Slowinska@bentley.com','442078610317' WHERE NOT EXISTS (SELECT Name FROM Contact WHERE Name = 'Joanna Slowinska');</v>
      </c>
      <c r="AR22" t="str">
        <f>contactsSQL('Master Table'!AR22)</f>
        <v>INSERT INTO Contact (Name, Email, Phone) SELECT 'Richard Ellis','Richard.Ellis@bentley.com','6421611832' WHERE NOT EXISTS (SELECT Name FROM Contact WHERE Name = 'Richard Ellis');</v>
      </c>
      <c r="AS22" t="str">
        <f>contactsSQL('Master Table'!AS22)</f>
        <v>INSERT INTO Contact (Name, Email, Phone) SELECT 'Neil Pickin','Neil.Pickin@bentley.com','441619731462' WHERE NOT EXISTS (SELECT Name FROM Contact WHERE Name = 'Neil Pickin');</v>
      </c>
      <c r="AT22" t="str">
        <f>contactsSQL('Master Table'!AT22)</f>
        <v>INSERT INTO Contact (Name, Email, Phone) SELECT 'Mark Mazzeo','Mark.Mazzeo@bentley.com','14122303034' WHERE NOT EXISTS (SELECT Name FROM Contact WHERE Name = 'Mark Mazzeo');</v>
      </c>
      <c r="AU22" t="str">
        <f>contactsSQL('Master Table'!AU22)</f>
        <v>INSERT INTO Contact (Name, Email, Phone) SELECT 'Paul Johnson','Paul.Johnson@bentley.com','16104583191' WHERE NOT EXISTS (SELECT Name FROM Contact WHERE Name = 'Paul Johnson');</v>
      </c>
      <c r="AV22" t="str">
        <f>contactsSQL('Master Table'!AV22)</f>
        <v>INSERT INTO Contact (Name, Email, Phone) SELECT 'Lijun Ma','Lijun.Ma@bentley.com','861082143036' WHERE NOT EXISTS (SELECT Name FROM Contact WHERE Name = 'Lijun Ma');</v>
      </c>
      <c r="AW22" t="str">
        <f>contactsSQL('Master Table'!AW22)</f>
        <v>INSERT INTO Contact (Name, Email, Phone) SELECT 'Lijun Ma','Lijun.Ma@bentley.com','861082143036' WHERE NOT EXISTS (SELECT Name FROM Contact WHERE Name = 'Lijun Ma');</v>
      </c>
      <c r="AX22" t="str">
        <f>contactsSQL('Master Table'!AX22)</f>
        <v>INSERT INTO Contact (Name, Email, Phone) SELECT 'Lijun Ma','Lijun.Ma@bentley.com','861082143036' WHERE NOT EXISTS (SELECT Name FROM Contact WHERE Name = 'Lijun Ma');</v>
      </c>
      <c r="AY22" t="str">
        <f>contactsSQL('Master Table'!AY22)</f>
        <v>INSERT INTO Contact (Name, Email, Phone) SELECT 'Lijun Ma','Lijun.Ma@bentley.com','861082143036' WHERE NOT EXISTS (SELECT Name FROM Contact WHERE Name = 'Lijun Ma');</v>
      </c>
      <c r="AZ22" t="str">
        <f>contactsSQL('Master Table'!AZ22)</f>
        <v>INSERT INTO Contact (Name, Email, Phone) SELECT 'Lijun Ma','Lijun.Ma@bentley.com','861082143036' WHERE NOT EXISTS (SELECT Name FROM Contact WHERE Name = 'Lijun Ma');</v>
      </c>
      <c r="BA22" t="str">
        <f>contactsSQL('Master Table'!BA22)</f>
        <v>INSERT INTO Contact (Name, Email, Phone) SELECT 'Lijun Ma','Lijun.Ma@bentley.com','861082143036' WHERE NOT EXISTS (SELECT Name FROM Contact WHERE Name = 'Lijun Ma');</v>
      </c>
      <c r="BB22" t="str">
        <f>contactsSQL('Master Table'!BB22)</f>
        <v>INSERT INTO Contact (Name, Email, Phone) SELECT 'Lijun Ma','Lijun.Ma@bentley.com','861082143036' WHERE NOT EXISTS (SELECT Name FROM Contact WHERE Name = 'Lijun Ma');</v>
      </c>
      <c r="BC22" t="str">
        <f>contactsSQL('Master Table'!BC22)</f>
        <v>INSERT INTO Contact (Name, Email, Phone) SELECT 'Lijun Ma','Lijun.Ma@bentley.com','861082143036' WHERE NOT EXISTS (SELECT Name FROM Contact WHERE Name = 'Lijun Ma');</v>
      </c>
      <c r="BD22" t="str">
        <f>contactsSQL('Master Table'!BD22)</f>
        <v>INSERT INTO Contact (Name, Email, Phone) SELECT 'Paul Johnson','Paul.Johnson@bentley.com','16104583191' WHERE NOT EXISTS (SELECT Name FROM Contact WHERE Name = 'Paul Johnson');</v>
      </c>
      <c r="BE22" t="str">
        <f>contactsSQL('Master Table'!BE22)</f>
        <v>INSERT INTO Contact (Name, Email, Phone) SELECT 'Paul Johnson','Paul.Johnson@bentley.com','16104583191' WHERE NOT EXISTS (SELECT Name FROM Contact WHERE Name = 'Paul Johnson');</v>
      </c>
      <c r="BF22" t="str">
        <f>contactsSQL('Master Table'!BF22)</f>
        <v>INSERT INTO Contact (Name, Email, Phone) SELECT 'Matt Starke','Matt.Starke@bentley.com','15102502118' WHERE NOT EXISTS (SELECT Name FROM Contact WHERE Name = 'Matt Starke');</v>
      </c>
      <c r="BG22" t="str">
        <f>contactsSQL('Master Table'!BG22)</f>
        <v>INSERT INTO Contact (Name, Email, Phone) SELECT 'Lijun Ma','Lijun.Ma@bentley.com','861082143036' WHERE NOT EXISTS (SELECT Name FROM Contact WHERE Name = 'Lijun Ma');</v>
      </c>
      <c r="BH22" t="str">
        <f>contactsSQL('Master Table'!BH22)</f>
        <v>INSERT INTO Contact (Name, Email, Phone) SELECT 'Lijun Ma','Lijun.Ma@bentley.com','861082143036' WHERE NOT EXISTS (SELECT Name FROM Contact WHERE Name = 'Lijun Ma');</v>
      </c>
      <c r="BI22" t="str">
        <f>contactsSQL('Master Table'!BI22)</f>
        <v>INSERT INTO Contact (Name, Email, Phone) SELECT 'Lijun Ma','Lijun.Ma@bentley.com','861082143036' WHERE NOT EXISTS (SELECT Name FROM Contact WHERE Name = 'Lijun Ma');</v>
      </c>
      <c r="BJ22" t="str">
        <f>contactsSQL('Master Table'!BJ22)</f>
        <v>INSERT INTO Contact (Name, Email, Phone) SELECT 'Amol Sonawane','Amol.Sonawane@bentley.com','912066021201' WHERE NOT EXISTS (SELECT Name FROM Contact WHERE Name = 'Amol Sonawane');</v>
      </c>
      <c r="BK22" t="str">
        <f>contactsSQL('Master Table'!BK22)</f>
        <v>INSERT INTO Contact (Name, Email, Phone) SELECT 'Lijun Ma','Lijun.Ma@bentley.com','861082143036' WHERE NOT EXISTS (SELECT Name FROM Contact WHERE Name = 'Lijun Ma');</v>
      </c>
      <c r="BL22" t="str">
        <f>contactsSQL('Master Table'!BL22)</f>
        <v>INSERT INTO Contact (Name, Email, Phone) SELECT 'Lijun Ma','Lijun.Ma@bentley.com','861082143036' WHERE NOT EXISTS (SELECT Name FROM Contact WHERE Name = 'Lijun Ma');</v>
      </c>
    </row>
    <row r="23" spans="3:64" x14ac:dyDescent="0.25">
      <c r="C23" t="str">
        <f>contactsSQL('Master Table'!C23)</f>
        <v>INSERT INTO Contact (Name, Email, Phone) SELECT 'Clark McDonald','','17707540771' WHERE NOT EXISTS (SELECT Name FROM Contact WHERE Name = 'Clark McDonald');</v>
      </c>
      <c r="D23" t="str">
        <f>contactsSQL('Master Table'!D23)</f>
        <v>INSERT INTO Contact (Name, Email, Phone) SELECT 'Clark McDonald','','17707540771' WHERE NOT EXISTS (SELECT Name FROM Contact WHERE Name = 'Clark McDonald');</v>
      </c>
      <c r="E23" t="str">
        <f>contactsSQL('Master Table'!E23)</f>
        <v>INSERT INTO Contact (Name, Email, Phone) SELECT 'Clark McDonald','','17707540771' WHERE NOT EXISTS (SELECT Name FROM Contact WHERE Name = 'Clark McDonald');</v>
      </c>
      <c r="F23" t="str">
        <f>contactsSQL('Master Table'!F23)</f>
        <v>INSERT INTO Contact (Name, Email, Phone) SELECT 'Clark McDonald','','17707540771' WHERE NOT EXISTS (SELECT Name FROM Contact WHERE Name = 'Clark McDonald');</v>
      </c>
      <c r="G23" t="str">
        <f>contactsSQL('Master Table'!G23)</f>
        <v>INSERT INTO Contact (Name, Email, Phone) SELECT 'Clark McDonald','','17707540771' WHERE NOT EXISTS (SELECT Name FROM Contact WHERE Name = 'Clark McDonald');</v>
      </c>
      <c r="H23" t="str">
        <f>contactsSQL('Master Table'!H23)</f>
        <v>INSERT INTO Contact (Name, Email, Phone) SELECT 'Clark McDonald','','17707540771' WHERE NOT EXISTS (SELECT Name FROM Contact WHERE Name = 'Clark McDonald');</v>
      </c>
      <c r="I23" t="str">
        <f>contactsSQL('Master Table'!I23)</f>
        <v/>
      </c>
      <c r="J23" t="str">
        <f>contactsSQL('Master Table'!J23)</f>
        <v/>
      </c>
      <c r="K23" t="str">
        <f>contactsSQL('Master Table'!K23)</f>
        <v/>
      </c>
      <c r="L23" t="str">
        <f>contactsSQL('Master Table'!L23)</f>
        <v/>
      </c>
      <c r="M23" t="str">
        <f>contactsSQL('Master Table'!M23)</f>
        <v>INSERT INTO Contact (Name, Email, Phone) SELECT 'Clark McDonald','','17707540771' WHERE NOT EXISTS (SELECT Name FROM Contact WHERE Name = 'Clark McDonald');</v>
      </c>
      <c r="N23" t="str">
        <f>contactsSQL('Master Table'!N23)</f>
        <v>INSERT INTO Contact (Name, Email, Phone) SELECT 'Pradip Maity','Pradip.Maity@bentley.com','6566926576' WHERE NOT EXISTS (SELECT Name FROM Contact WHERE Name = 'Pradip Maity');</v>
      </c>
      <c r="O23" t="str">
        <f>contactsSQL('Master Table'!O23)</f>
        <v>INSERT INTO Contact (Name, Email, Phone) SELECT 'Pradip Maity','Pradip.Maity@bentley.com','6566926576' WHERE NOT EXISTS (SELECT Name FROM Contact WHERE Name = 'Pradip Maity');</v>
      </c>
      <c r="P23" t="str">
        <f>contactsSQL('Master Table'!P23)</f>
        <v>INSERT INTO Contact (Name, Email, Phone) SELECT 'Sai Selvakumar','Sai.Selvakumar@bentley.com','61396978657' WHERE NOT EXISTS (SELECT Name FROM Contact WHERE Name = 'Sai Selvakumar');</v>
      </c>
      <c r="Q23" t="str">
        <f>contactsSQL('Master Table'!Q23)</f>
        <v>INSERT INTO Contact (Name, Email, Phone) SELECT 'Sai Selvakumar','Sai.Selvakumar@bentley.com','61396978657' WHERE NOT EXISTS (SELECT Name FROM Contact WHERE Name = 'Sai Selvakumar');</v>
      </c>
      <c r="R23" t="str">
        <f>contactsSQL('Master Table'!R23)</f>
        <v>INSERT INTO Contact (Name, Email, Phone) SELECT 'Raj Dodda','Raj.Dodda@bentley.com','61288778805' WHERE NOT EXISTS (SELECT Name FROM Contact WHERE Name = 'Raj Dodda');</v>
      </c>
      <c r="S23" t="str">
        <f>contactsSQL('Master Table'!S23)</f>
        <v>INSERT INTO Contact (Name, Email, Phone) SELECT 'Raj Dodda','Raj.Dodda@bentley.com','61288778805' WHERE NOT EXISTS (SELECT Name FROM Contact WHERE Name = 'Raj Dodda');</v>
      </c>
      <c r="T23" t="str">
        <f>contactsSQL('Master Table'!T23)</f>
        <v>INSERT INTO Contact (Name, Email, Phone) SELECT 'Raj Dodda','Raj.Dodda@bentley.com','61288778805' WHERE NOT EXISTS (SELECT Name FROM Contact WHERE Name = 'Raj Dodda');</v>
      </c>
      <c r="U23" t="str">
        <f>contactsSQL('Master Table'!U23)</f>
        <v>INSERT INTO Contact (Name, Email, Phone) SELECT 'Raj Dodda','Raj.Dodda@bentley.com','61288778805' WHERE NOT EXISTS (SELECT Name FROM Contact WHERE Name = 'Raj Dodda');</v>
      </c>
      <c r="V23" t="str">
        <f>contactsSQL('Master Table'!V23)</f>
        <v>INSERT INTO Contact (Name, Email, Phone) SELECT 'Raj Dodda','Raj.Dodda@bentley.com','61288778805' WHERE NOT EXISTS (SELECT Name FROM Contact WHERE Name = 'Raj Dodda');</v>
      </c>
      <c r="W23" t="str">
        <f>contactsSQL('Master Table'!W23)</f>
        <v>INSERT INTO Contact (Name, Email, Phone) SELECT 'Raj Dodda','Raj.Dodda@bentley.com','61288778805' WHERE NOT EXISTS (SELECT Name FROM Contact WHERE Name = 'Raj Dodda');</v>
      </c>
      <c r="X23" t="str">
        <f>contactsSQL('Master Table'!X23)</f>
        <v>INSERT INTO Contact (Name, Email, Phone) SELECT 'Sai Selvakumar','Sai.Selvakumar@bentley.com','61396978657' WHERE NOT EXISTS (SELECT Name FROM Contact WHERE Name = 'Sai Selvakumar');</v>
      </c>
      <c r="Y23" t="str">
        <f>contactsSQL('Master Table'!Y23)</f>
        <v>INSERT INTO Contact (Name, Email, Phone) SELECT 'Sai Selvakumar','Sai.Selvakumar@bentley.com','61396978657' WHERE NOT EXISTS (SELECT Name FROM Contact WHERE Name = 'Sai Selvakumar');</v>
      </c>
      <c r="Z23" t="str">
        <f>contactsSQL('Master Table'!Z23)</f>
        <v>INSERT INTO Contact (Name, Email, Phone) SELECT 'Sai Selvakumar','Sai.Selvakumar@bentley.com','61396978657' WHERE NOT EXISTS (SELECT Name FROM Contact WHERE Name = 'Sai Selvakumar');</v>
      </c>
      <c r="AA23" t="str">
        <f>contactsSQL('Master Table'!AA23)</f>
        <v>INSERT INTO Contact (Name, Email, Phone) SELECT 'Sai Selvakumar','Sai.Selvakumar@bentley.com','61396978657' WHERE NOT EXISTS (SELECT Name FROM Contact WHERE Name = 'Sai Selvakumar');</v>
      </c>
      <c r="AB23" t="str">
        <f>contactsSQL('Master Table'!AB23)</f>
        <v>INSERT INTO Contact (Name, Email, Phone) SELECT 'Sai Selvakumar','Sai.Selvakumar@bentley.com','61396978657' WHERE NOT EXISTS (SELECT Name FROM Contact WHERE Name = 'Sai Selvakumar');</v>
      </c>
      <c r="AC23" t="str">
        <f>contactsSQL('Master Table'!AC23)</f>
        <v>INSERT INTO Contact (Name, Email, Phone) SELECT 'Sai Selvakumar','Sai.Selvakumar@bentley.com','61396978657' WHERE NOT EXISTS (SELECT Name FROM Contact WHERE Name = 'Sai Selvakumar');</v>
      </c>
      <c r="AD23" t="str">
        <f>contactsSQL('Master Table'!AD23)</f>
        <v>INSERT INTO Contact (Name, Email, Phone) SELECT 'Sai Selvakumar','Sai.Selvakumar@bentley.com','61396978657' WHERE NOT EXISTS (SELECT Name FROM Contact WHERE Name = 'Sai Selvakumar');</v>
      </c>
      <c r="AE23" t="str">
        <f>contactsSQL('Master Table'!AE23)</f>
        <v>INSERT INTO Contact (Name, Email, Phone) SELECT 'Sai Selvakumar','Sai.Selvakumar@bentley.com','61396978657' WHERE NOT EXISTS (SELECT Name FROM Contact WHERE Name = 'Sai Selvakumar');</v>
      </c>
      <c r="AF23" t="str">
        <f>contactsSQL('Master Table'!AF23)</f>
        <v>INSERT INTO Contact (Name, Email, Phone) SELECT 'Sai Selvakumar','Sai.Selvakumar@bentley.com','61396978657' WHERE NOT EXISTS (SELECT Name FROM Contact WHERE Name = 'Sai Selvakumar');</v>
      </c>
      <c r="AG23" t="str">
        <f>contactsSQL('Master Table'!AG23)</f>
        <v>INSERT INTO Contact (Name, Email, Phone) SELECT 'Sai Selvakumar','Sai.Selvakumar@bentley.com','61396978657' WHERE NOT EXISTS (SELECT Name FROM Contact WHERE Name = 'Sai Selvakumar');</v>
      </c>
      <c r="AH23" t="str">
        <f>contactsSQL('Master Table'!AH23)</f>
        <v>INSERT INTO Contact (Name, Email, Phone) SELECT 'Sai Selvakumar','Sai.Selvakumar@bentley.com','61396978657' WHERE NOT EXISTS (SELECT Name FROM Contact WHERE Name = 'Sai Selvakumar');</v>
      </c>
      <c r="AI23" t="str">
        <f>contactsSQL('Master Table'!AI23)</f>
        <v>INSERT INTO Contact (Name, Email, Phone) SELECT 'Sai Selvakumar','Sai.Selvakumar@bentley.com','61396978657' WHERE NOT EXISTS (SELECT Name FROM Contact WHERE Name = 'Sai Selvakumar');</v>
      </c>
      <c r="AJ23" t="str">
        <f>contactsSQL('Master Table'!AJ23)</f>
        <v>INSERT INTO Contact (Name, Email, Phone) SELECT 'George Castle','George.Castle@bentley.com','12148507553' WHERE NOT EXISTS (SELECT Name FROM Contact WHERE Name = 'George Castle');</v>
      </c>
      <c r="AK23" t="str">
        <f>contactsSQL('Master Table'!AK23)</f>
        <v>INSERT INTO Contact (Name, Email, Phone) SELECT 'David Smith','David.Smith@bentley.com','441349865554' WHERE NOT EXISTS (SELECT Name FROM Contact WHERE Name = 'David Smith');</v>
      </c>
      <c r="AL23" t="str">
        <f>contactsSQL('Master Table'!AL23)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M23" t="str">
        <f>contactsSQL('Master Table'!AM23)</f>
        <v>INSERT INTO Contact (Name, Email, Phone) SELECT 'Gaurav Malik','Gaurav.Malik@bentley.com','91' WHERE NOT EXISTS (SELECT Name FROM Contact WHERE Name = 'Gaurav Malik');INSERT INTO Contact (Name, Email, Phone) SELECT 'Suneet Manjavkar','Suneet.Manjavkar@bentley.com','1149021128' WHERE NOT EXISTS (SELECT Name FROM Contact WHERE Name = 'Suneet Manjavkar');</v>
      </c>
      <c r="AN23" t="str">
        <f>contactsSQL('Master Table'!AN23)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O23" t="str">
        <f>contactsSQL('Master Table'!AO23)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23" t="str">
        <f>contactsSQL('Master Table'!AP23)</f>
        <v>INSERT INTO Contact (Name, Email, Phone) SELECT 'Vincent Ng','Vincent.Ng@bentley.com','60379403432' WHERE NOT EXISTS (SELECT Name FROM Contact WHERE Name = 'Vincent Ng');</v>
      </c>
      <c r="AQ23" t="str">
        <f>contactsSQL('Master Table'!AQ23)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23" t="str">
        <f>contactsSQL('Master Table'!AR23)</f>
        <v>INSERT INTO Contact (Name, Email, Phone) SELECT 'Dan Vogen','Dan.Vogen@bentley.com','16309816500' WHERE NOT EXISTS (SELECT Name FROM Contact WHERE Name = 'Dan Vogen');</v>
      </c>
      <c r="AS23" t="str">
        <f>contactsSQL('Master Table'!AS23)</f>
        <v>INSERT INTO Contact (Name, Email, Phone) SELECT 'David Smith','David.Smith@bentley.com','441349865554' WHERE NOT EXISTS (SELECT Name FROM Contact WHERE Name = 'David Smith');</v>
      </c>
      <c r="AT23" t="str">
        <f>contactsSQL('Master Table'!AT23)</f>
        <v>INSERT INTO Contact (Name, Email, Phone) SELECT 'Ben Witter','Ben.Witter@bentley.com','12676642491' WHERE NOT EXISTS (SELECT Name FROM Contact WHERE Name = 'Ben Witter');</v>
      </c>
      <c r="AU23" t="str">
        <f>contactsSQL('Master Table'!AU23)</f>
        <v>INSERT INTO Contact (Name, Email, Phone) SELECT 'Eric Crivella','Eric.Crivella@bentley.com','18322172802' WHERE NOT EXISTS (SELECT Name FROM Contact WHERE Name = 'Eric Crivella');</v>
      </c>
      <c r="AV23" t="str">
        <f>contactsSQL('Master Table'!AV23)</f>
        <v>INSERT INTO Contact (Name, Email, Phone) SELECT 'Paul King','Paul.King@bentley.com','61288778810' WHERE NOT EXISTS (SELECT Name FROM Contact WHERE Name = 'Paul King');</v>
      </c>
      <c r="AW23" t="str">
        <f>contactsSQL('Master Table'!AW23)</f>
        <v>INSERT INTO Contact (Name, Email, Phone) SELECT 'Paul King','Paul.King@bentley.com','61288778810' WHERE NOT EXISTS (SELECT Name FROM Contact WHERE Name = 'Paul King');</v>
      </c>
      <c r="AX23" t="str">
        <f>contactsSQL('Master Table'!AX23)</f>
        <v>INSERT INTO Contact (Name, Email, Phone) SELECT 'Paul King','Paul.King@bentley.com','61288778810' WHERE NOT EXISTS (SELECT Name FROM Contact WHERE Name = 'Paul King');</v>
      </c>
      <c r="AY23" t="str">
        <f>contactsSQL('Master Table'!AY23)</f>
        <v>INSERT INTO Contact (Name, Email, Phone) SELECT 'Paul King','Paul.King@bentley.com','61288778810' WHERE NOT EXISTS (SELECT Name FROM Contact WHERE Name = 'Paul King');</v>
      </c>
      <c r="AZ23" t="str">
        <f>contactsSQL('Master Table'!AZ23)</f>
        <v>INSERT INTO Contact (Name, Email, Phone) SELECT 'Paul King','Paul.King@bentley.com','61288778810' WHERE NOT EXISTS (SELECT Name FROM Contact WHERE Name = 'Paul King');</v>
      </c>
      <c r="BA23" t="str">
        <f>contactsSQL('Master Table'!BA23)</f>
        <v>INSERT INTO Contact (Name, Email, Phone) SELECT 'Paul King','Paul.King@bentley.com','61288778810' WHERE NOT EXISTS (SELECT Name FROM Contact WHERE Name = 'Paul King');</v>
      </c>
      <c r="BB23" t="str">
        <f>contactsSQL('Master Table'!BB23)</f>
        <v>INSERT INTO Contact (Name, Email, Phone) SELECT 'Paul King','Paul.King@bentley.com','61288778810' WHERE NOT EXISTS (SELECT Name FROM Contact WHERE Name = 'Paul King');</v>
      </c>
      <c r="BC23" t="str">
        <f>contactsSQL('Master Table'!BC23)</f>
        <v>INSERT INTO Contact (Name, Email, Phone) SELECT 'Paul King','Paul.King@bentley.com','61288778810' WHERE NOT EXISTS (SELECT Name FROM Contact WHERE Name = 'Paul King');</v>
      </c>
      <c r="BD23" t="str">
        <f>contactsSQL('Master Table'!BD23)</f>
        <v>INSERT INTO Contact (Name, Email, Phone) SELECT 'Steven Chau','steven.chau@bentley.com','' WHERE NOT EXISTS (SELECT Name FROM Contact WHERE Name = 'Steven Chau');</v>
      </c>
      <c r="BE23" t="str">
        <f>contactsSQL('Master Table'!BE23)</f>
        <v>INSERT INTO Contact (Name, Email, Phone) SELECT 'Eric Crivella','Eric.Crivella@bentley.com','18322172802' WHERE NOT EXISTS (SELECT Name FROM Contact WHERE Name = 'Eric Crivella');</v>
      </c>
      <c r="BF23" t="str">
        <f>contactsSQL('Master Table'!BF23)</f>
        <v>INSERT INTO Contact (Name, Email, Phone) SELECT 'Eric Law','Eric.Law@bentley.com','15102502114' WHERE NOT EXISTS (SELECT Name FROM Contact WHERE Name = 'Eric Law');</v>
      </c>
      <c r="BG23" t="str">
        <f>contactsSQL('Master Table'!BG23)</f>
        <v>INSERT INTO Contact (Name, Email, Phone) SELECT 'Paul King','Paul.King@bentley.com','61288778810' WHERE NOT EXISTS (SELECT Name FROM Contact WHERE Name = 'Paul King');</v>
      </c>
      <c r="BH23" t="str">
        <f>contactsSQL('Master Table'!BH23)</f>
        <v>INSERT INTO Contact (Name, Email, Phone) SELECT 'Paul King','Paul.King@bentley.com','61288778810' WHERE NOT EXISTS (SELECT Name FROM Contact WHERE Name = 'Paul King');</v>
      </c>
      <c r="BI23" t="str">
        <f>contactsSQL('Master Table'!BI23)</f>
        <v>INSERT INTO Contact (Name, Email, Phone) SELECT 'Paul King','Paul.King@bentley.com','61288778810' WHERE NOT EXISTS (SELECT Name FROM Contact WHERE Name = 'Paul King');</v>
      </c>
      <c r="BJ23" t="str">
        <f>contactsSQL('Master Table'!BJ23)</f>
        <v>INSERT INTO Contact (Name, Email, Phone) SELECT 'Paul King','Paul.King@bentley.com','61288778810' WHERE NOT EXISTS (SELECT Name FROM Contact WHERE Name = 'Paul King');</v>
      </c>
      <c r="BK23" t="str">
        <f>contactsSQL('Master Table'!BK23)</f>
        <v>INSERT INTO Contact (Name, Email, Phone) SELECT 'Paul King','Paul.King@bentley.com','61288778810' WHERE NOT EXISTS (SELECT Name FROM Contact WHERE Name = 'Paul King');</v>
      </c>
      <c r="BL23" t="str">
        <f>contactsSQL('Master Table'!BL23)</f>
        <v>INSERT INTO Contact (Name, Email, Phone) SELECT 'Paul King','Paul.King@bentley.com','61288778810' WHERE NOT EXISTS (SELECT Name FROM Contact WHERE Name = 'Paul King');</v>
      </c>
    </row>
    <row r="24" spans="3:64" x14ac:dyDescent="0.25">
      <c r="C24" t="str">
        <f>contactsSQL('Master Table'!C24)</f>
        <v>INSERT INTO Contact (Name, Email, Phone) SELECT 'Carlos Aguera','Carlos.Aguera@bentley.com','442078610973' WHERE NOT EXISTS (SELECT Name FROM Contact WHERE Name = 'Carlos Aguera');</v>
      </c>
      <c r="D24" t="str">
        <f>contactsSQL('Master Table'!D24)</f>
        <v>INSERT INTO Contact (Name, Email, Phone) SELECT 'Allen Adams','Allen.Adams@bentley.com','17604313610' WHERE NOT EXISTS (SELECT Name FROM Contact WHERE Name = 'Allen Adams');</v>
      </c>
      <c r="E24" t="str">
        <f>contactsSQL('Master Table'!E24)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24" t="str">
        <f>contactsSQL('Master Table'!F24)</f>
        <v>INSERT INTO Contact (Name, Email, Phone) SELECT 'Parvinder Jhita','Parvinder.Jhita@bentley.com','1' WHERE NOT EXISTS (SELECT Name FROM Contact WHERE Name = 'Parvinder Jhita');</v>
      </c>
      <c r="G24" t="str">
        <f>contactsSQL('Master Table'!G24)</f>
        <v>INSERT INTO Contact (Name, Email, Phone) SELECT 'Pat Couser','Pat.Couser@bentley.com','' WHERE NOT EXISTS (SELECT Name FROM Contact WHERE Name = 'Pat Couser');</v>
      </c>
      <c r="H24" t="str">
        <f>contactsSQL('Master Table'!H24)</f>
        <v>INSERT INTO Contact (Name, Email, Phone) SELECT 'Georgina Maldonado','Georgina.Maldonado@bentley.com','7133608369' WHERE NOT EXISTS (SELECT Name FROM Contact WHERE Name = 'Georgina Maldonado');</v>
      </c>
      <c r="I24" t="str">
        <f>contactsSQL('Master Table'!I24)</f>
        <v>INSERT INTO Contact (Name, Email, Phone) SELECT 'Gregor Strekelj','Gregor.Strekelj@bentley.com','4331682153165' WHERE NOT EXISTS (SELECT Name FROM Contact WHERE Name = 'Gregor Strekelj');</v>
      </c>
      <c r="J24" t="str">
        <f>contactsSQL('Master Table'!J24)</f>
        <v>INSERT INTO Contact (Name, Email, Phone) SELECT 'Xin Luo','Xin.Luo@bentley.com','19543439359' WHERE NOT EXISTS (SELECT Name FROM Contact WHERE Name = 'Xin Luo');</v>
      </c>
      <c r="K24" t="str">
        <f>contactsSQL('Master Table'!K24)</f>
        <v>INSERT INTO Contact (Name, Email, Phone) SELECT 'Sri Kanneganti','Sri.Kanneganti@bentley.com','19543439325' WHERE NOT EXISTS (SELECT Name FROM Contact WHERE Name = 'Sri Kanneganti');</v>
      </c>
      <c r="L24" t="str">
        <f>contactsSQL('Master Table'!L24)</f>
        <v>INSERT INTO Contact (Name, Email, Phone) SELECT 'Bill Beyer','Bill.Beyer@bentley.com','18166667568' WHERE NOT EXISTS (SELECT Name FROM Contact WHERE Name = 'Bill Beyer');</v>
      </c>
      <c r="M24" t="str">
        <f>contactsSQL('Master Table'!M24)</f>
        <v>INSERT INTO Contact (Name, Email, Phone) SELECT 'David Settlemeyer','David.Settlemyer@bentley.com','16103214610' WHERE NOT EXISTS (SELECT Name FROM Contact WHERE Name = 'David Settlemeyer');</v>
      </c>
      <c r="N24" t="str">
        <f>contactsSQL('Master Table'!N24)</f>
        <v>INSERT INTO Contact (Name, Email, Phone) SELECT 'Andy Smith','Andy.Smith@bentley.com','7046630319' WHERE NOT EXISTS (SELECT Name FROM Contact WHERE Name = 'Andy Smith');</v>
      </c>
      <c r="O24" t="str">
        <f>contactsSQL('Master Table'!O24)</f>
        <v>INSERT INTO Contact (Name, Email, Phone) SELECT 'Andy Smith','Andy.Smith@bentley.com','7046630319' WHERE NOT EXISTS (SELECT Name FROM Contact WHERE Name = 'Andy Smith');</v>
      </c>
      <c r="P24" t="str">
        <f>contactsSQL('Master Table'!P24)</f>
        <v>INSERT INTO Contact (Name, Email, Phone) SELECT 'Paul Demetriou','Paul.Demetriou@bentley.com','12088879204' WHERE NOT EXISTS (SELECT Name FROM Contact WHERE Name = 'Paul Demetriou');</v>
      </c>
      <c r="Q24" t="str">
        <f>contactsSQL('Master Table'!Q24)</f>
        <v>INSERT INTO Contact (Name, Email, Phone) SELECT 'Ian Rosam','Ian.Rosam@bentley.com','442078610313' WHERE NOT EXISTS (SELECT Name FROM Contact WHERE Name = 'Ian Rosam');</v>
      </c>
      <c r="R24" t="str">
        <f>contactsSQL('Master Table'!R24)</f>
        <v>INSERT INTO Contact (Name, Email, Phone) SELECT 'Ian Rosam','Ian.Rosam@bentley.com','442078610313' WHERE NOT EXISTS (SELECT Name FROM Contact WHERE Name = 'Ian Rosam');</v>
      </c>
      <c r="S24" t="str">
        <f>contactsSQL('Master Table'!S24)</f>
        <v>INSERT INTO Contact (Name, Email, Phone) SELECT 'Ian Rosam','Ian.Rosam@bentley.com','442078610313' WHERE NOT EXISTS (SELECT Name FROM Contact WHERE Name = 'Ian Rosam');</v>
      </c>
      <c r="T24" t="str">
        <f>contactsSQL('Master Table'!T24)</f>
        <v>INSERT INTO Contact (Name, Email, Phone) SELECT 'Kivanc Karakas','Kivanc.Karakas@bentley.com','442078610339' WHERE NOT EXISTS (SELECT Name FROM Contact WHERE Name = 'Kivanc Karakas');</v>
      </c>
      <c r="U24" t="str">
        <f>contactsSQL('Master Table'!U24)</f>
        <v>INSERT INTO Contact (Name, Email, Phone) SELECT 'Ian Rosam','Ian.Rosam@bentley.com','442078610313' WHERE NOT EXISTS (SELECT Name FROM Contact WHERE Name = 'Ian Rosam');</v>
      </c>
      <c r="V24" t="str">
        <f>contactsSQL('Master Table'!V24)</f>
        <v>INSERT INTO Contact (Name, Email, Phone) SELECT 'Francois Valois','Francois.Valois@bentley.com','15817817522' WHERE NOT EXISTS (SELECT Name FROM Contact WHERE Name = 'Francois Valois');</v>
      </c>
      <c r="W24" t="str">
        <f>contactsSQL('Master Table'!W24)</f>
        <v>INSERT INTO Contact (Name, Email, Phone) SELECT 'Nicolas Loubier','Nicolas.Loubier@bentley.com','15817817567' WHERE NOT EXISTS (SELECT Name FROM Contact WHERE Name = 'Nicolas Loubier');</v>
      </c>
      <c r="X24" t="str">
        <f>contactsSQL('Master Table'!X24)</f>
        <v>INSERT INTO Contact (Name, Email, Phone) SELECT 'Adnan Ulhaq','Adnan.Ulhaq@bentley.com','92512078422' WHERE NOT EXISTS (SELECT Name FROM Contact WHERE Name = 'Adnan Ulhaq');</v>
      </c>
      <c r="Y24" t="str">
        <f>contactsSQL('Master Table'!Y24)</f>
        <v>INSERT INTO Contact (Name, Email, Phone) SELECT 'Tim Lawrence','Tim.Lawrence@bentley.com','15873158588' WHERE NOT EXISTS (SELECT Name FROM Contact WHERE Name = 'Tim Lawrence');</v>
      </c>
      <c r="Z24" t="str">
        <f>contactsSQL('Master Table'!Z24)</f>
        <v>INSERT INTO Contact (Name, Email, Phone) SELECT 'Abbas Ali','','16104583160' WHERE NOT EXISTS (SELECT Name FROM Contact WHERE Name = 'Abbas Ali');</v>
      </c>
      <c r="AA24" t="str">
        <f>contactsSQL('Master Table'!AA24)</f>
        <v>INSERT INTO Contact (Name, Email, Phone) SELECT 'Rob Harper','Rob.Harper@bentley.com','17137303385' WHERE NOT EXISTS (SELECT Name FROM Contact WHERE Name = 'Rob Harper');</v>
      </c>
      <c r="AB24" t="str">
        <f>contactsSQL('Master Table'!AB24)</f>
        <v>INSERT INTO Contact (Name, Email, Phone) SELECT 'Alain Beland','Alain.Beland@bentley.com','14188802022' WHERE NOT EXISTS (SELECT Name FROM Contact WHERE Name = 'Alain Beland');</v>
      </c>
      <c r="AC24" t="str">
        <f>contactsSQL('Master Table'!AC24)</f>
        <v>INSERT INTO Contact (Name, Email, Phone) SELECT 'Tim Lawrence','Tim.Lawrence@bentley.com','15873158588' WHERE NOT EXISTS (SELECT Name FROM Contact WHERE Name = 'Tim Lawrence');</v>
      </c>
      <c r="AD24" t="str">
        <f>contactsSQL('Master Table'!AD24)</f>
        <v>INSERT INTO Contact (Name, Email, Phone) SELECT 'Benoit Frederique','Benoit.Fredericque@bentley.com','' WHERE NOT EXISTS (SELECT Name FROM Contact WHERE Name = 'Benoit Frederique');</v>
      </c>
      <c r="AE24" t="str">
        <f>contactsSQL('Master Table'!AE24)</f>
        <v>INSERT INTO Contact (Name, Email, Phone) SELECT 'Benoit Frederique','Benoit.Fredericque@bentley.com','' WHERE NOT EXISTS (SELECT Name FROM Contact WHERE Name = 'Benoit Frederique');</v>
      </c>
      <c r="AF24" t="str">
        <f>contactsSQL('Master Table'!AF24)</f>
        <v>INSERT INTO Contact (Name, Email, Phone) SELECT 'Benoit Frederique','Benoit.Fredericque@bentley.com','' WHERE NOT EXISTS (SELECT Name FROM Contact WHERE Name = 'Benoit Frederique');</v>
      </c>
      <c r="AG24" t="str">
        <f>contactsSQL('Master Table'!AG24)</f>
        <v>INSERT INTO Contact (Name, Email, Phone) SELECT 'Benoit Frederique','Benoit.Fredericque@bentley.com','' WHERE NOT EXISTS (SELECT Name FROM Contact WHERE Name = 'Benoit Frederique');</v>
      </c>
      <c r="AH24" t="str">
        <f>contactsSQL('Master Table'!AH24)</f>
        <v>INSERT INTO Contact (Name, Email, Phone) SELECT 'Jim Barr','Jim.Barr@bentley.com','12567241520' WHERE NOT EXISTS (SELECT Name FROM Contact WHERE Name = 'Jim Barr');</v>
      </c>
      <c r="AI24" t="str">
        <f>contactsSQL('Master Table'!AI24)</f>
        <v>INSERT INTO Contact (Name, Email, Phone) SELECT 'Slavica Bozic','Slavica.Bozic@bentley.com','16302338281' WHERE NOT EXISTS (SELECT Name FROM Contact WHERE Name = 'Slavica Bozic');</v>
      </c>
      <c r="AJ24" t="str">
        <f>contactsSQL('Master Table'!AJ24)</f>
        <v>INSERT INTO Contact (Name, Email, Phone) SELECT 'Jim Newman','Jim.Newman@bentley.com','17044332566' WHERE NOT EXISTS (SELECT Name FROM Contact WHERE Name = 'Jim Newman');</v>
      </c>
      <c r="AK24" t="str">
        <f>contactsSQL('Master Table'!AK24)</f>
        <v>INSERT INTO Contact (Name, Email, Phone) SELECT 'Aaron Beazley','Aaron.Beazley@bentley.com','12898162642' WHERE NOT EXISTS (SELECT Name FROM Contact WHERE Name = 'Aaron Beazley');</v>
      </c>
      <c r="AL24" t="str">
        <f>contactsSQL('Master Table'!AL24)</f>
        <v>INSERT INTO Contact (Name, Email, Phone) SELECT 'Gijsbert Noordam','Gijsbert.Noordam@bentley.com','31235560626' WHERE NOT EXISTS (SELECT Name FROM Contact WHERE Name = 'Gijsbert Noordam');</v>
      </c>
      <c r="AM24" t="str">
        <f>contactsSQL('Master Table'!AM24)</f>
        <v>INSERT INTO Contact (Name, Email, Phone) SELECT 'Gregg Herrin','Gregg.Herrin@bentley.com','16104583188' WHERE NOT EXISTS (SELECT Name FROM Contact WHERE Name = 'Gregg Herrin');</v>
      </c>
      <c r="AN24" t="str">
        <f>contactsSQL('Master Table'!AN24)</f>
        <v>INSERT INTO Contact (Name, Email, Phone) SELECT 'Gijsbert Noordam','Gijsbert.Noordam@bentley.com','31235560626' WHERE NOT EXISTS (SELECT Name FROM Contact WHERE Name = 'Gijsbert Noordam');</v>
      </c>
      <c r="AO24" t="str">
        <f>contactsSQL('Master Table'!AO24)</f>
        <v>INSERT INTO Contact (Name, Email, Phone) SELECT 'Russell Page','Russell.Page@bentley.com','13032210689' WHERE NOT EXISTS (SELECT Name FROM Contact WHERE Name = 'Russell Page');</v>
      </c>
      <c r="AP24" t="str">
        <f>contactsSQL('Master Table'!AP24)</f>
        <v>INSERT INTO Contact (Name, Email, Phone) SELECT 'Mal Sharkey','Mal.Sharkey@bentley.com','61396978623' WHERE NOT EXISTS (SELECT Name FROM Contact WHERE Name = 'Mal Sharkey');</v>
      </c>
      <c r="AQ24" t="str">
        <f>contactsSQL('Master Table'!AQ24)</f>
        <v>INSERT INTO Contact (Name, Email, Phone) SELECT 'Aaron Beazily','Aaron.Beazley@bentley.com','12898162642' WHERE NOT EXISTS (SELECT Name FROM Contact WHERE Name = 'Aaron Beazily');</v>
      </c>
      <c r="AR24" t="str">
        <f>contactsSQL('Master Table'!AR24)</f>
        <v>INSERT INTO Contact (Name, Email, Phone) SELECT 'Jim Scott','Jim.Scott@bentley.com','13039670864' WHERE NOT EXISTS (SELECT Name FROM Contact WHERE Name = 'Jim Scott');</v>
      </c>
      <c r="AS24" t="str">
        <f>contactsSQL('Master Table'!AS24)</f>
        <v>INSERT INTO Contact (Name, Email, Phone) SELECT 'Duncan Rodger','Duncan.Rodger@bentley.com','441349865554' WHERE NOT EXISTS (SELECT Name FROM Contact WHERE Name = 'Duncan Rodger');</v>
      </c>
      <c r="AT24" t="str">
        <f>contactsSQL('Master Table'!AT24)</f>
        <v>INSERT INTO Contact (Name, Email, Phone) SELECT 'Taylor Gilmore','Taylor.Gilmore@bentley.com','14126811521' WHERE NOT EXISTS (SELECT Name FROM Contact WHERE Name = 'Taylor Gilmore');</v>
      </c>
      <c r="AU24" t="str">
        <f>contactsSQL('Master Table'!AU24)</f>
        <v>INSERT INTO Contact (Name, Email, Phone) SELECT 'Paolomee Udani','Paolomee.Udani@bentley.com','19252745107' WHERE NOT EXISTS (SELECT Name FROM Contact WHERE Name = 'Paolomee Udani');</v>
      </c>
      <c r="AV24" t="str">
        <f>contactsSQL('Master Table'!AV24)</f>
        <v>INSERT INTO Contact (Name, Email, Phone) SELECT 'Bill McNamara','Bill.McNamara@bentley.com','16104587602' WHERE NOT EXISTS (SELECT Name FROM Contact WHERE Name = 'Bill McNamara');</v>
      </c>
      <c r="AW24" t="str">
        <f>contactsSQL('Master Table'!AW24)</f>
        <v>INSERT INTO Contact (Name, Email, Phone) SELECT 'Bill McNamara','Bill.McNamara@bentley.com','16104587602' WHERE NOT EXISTS (SELECT Name FROM Contact WHERE Name = 'Bill McNamara');</v>
      </c>
      <c r="AX24" t="str">
        <f>contactsSQL('Master Table'!AX24)</f>
        <v>INSERT INTO Contact (Name, Email, Phone) SELECT 'Bill McNamara','Bill.McNamara@bentley.com','16104587602' WHERE NOT EXISTS (SELECT Name FROM Contact WHERE Name = 'Bill McNamara');</v>
      </c>
      <c r="AY24" t="str">
        <f>contactsSQL('Master Table'!AY24)</f>
        <v>INSERT INTO Contact (Name, Email, Phone) SELECT 'Bill McNamara','Bill.McNamara@bentley.com','16104587602' WHERE NOT EXISTS (SELECT Name FROM Contact WHERE Name = 'Bill McNamara');</v>
      </c>
      <c r="AZ24" t="str">
        <f>contactsSQL('Master Table'!AZ24)</f>
        <v>INSERT INTO Contact (Name, Email, Phone) SELECT 'Bill McNamara','Bill.McNamara@bentley.com','16104587602' WHERE NOT EXISTS (SELECT Name FROM Contact WHERE Name = 'Bill McNamara');</v>
      </c>
      <c r="BA24" t="str">
        <f>contactsSQL('Master Table'!BA24)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24" t="str">
        <f>contactsSQL('Master Table'!BB24)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24" t="str">
        <f>contactsSQL('Master Table'!BC24)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24" t="str">
        <f>contactsSQL('Master Table'!BD24)</f>
        <v>INSERT INTO Contact (Name, Email, Phone) SELECT 'Joe Granville','Joe.Granville@bentley.com','16104582951' WHERE NOT EXISTS (SELECT Name FROM Contact WHERE Name = 'Joe Granville');</v>
      </c>
      <c r="BE24" t="str">
        <f>contactsSQL('Master Table'!BE24)</f>
        <v>INSERT INTO Contact (Name, Email, Phone) SELECT 'Beth Buerger','Beth.Buerger@bentley.com','17205283380' WHERE NOT EXISTS (SELECT Name FROM Contact WHERE Name = 'Beth Buerger');</v>
      </c>
      <c r="BF24" t="str">
        <f>contactsSQL('Master Table'!BF24)</f>
        <v>INSERT INTO Contact (Name, Email, Phone) SELECT 'Sam Stuart','Sam.Stuart@bentley.com','' WHERE NOT EXISTS (SELECT Name FROM Contact WHERE Name = 'Sam Stuart');</v>
      </c>
      <c r="BG24" t="str">
        <f>contactsSQL('Master Table'!BG24)</f>
        <v>INSERT INTO Contact (Name, Email, Phone) SELECT 'Rimantas Varanavicius','imantas.Varanavicius@bentley.com','37052398145' WHERE NOT EXISTS (SELECT Name FROM Contact WHERE Name = 'Rimantas Varanavicius');</v>
      </c>
      <c r="BH24" t="str">
        <f>contactsSQL('Master Table'!BH24)</f>
        <v>INSERT INTO Contact (Name, Email, Phone) SELECT 'Jo Wright','Jo.Wright@bentley.com','12569701111' WHERE NOT EXISTS (SELECT Name FROM Contact WHERE Name = 'Jo Wright');</v>
      </c>
      <c r="BI24" t="str">
        <f>contactsSQL('Master Table'!BI24)</f>
        <v>INSERT INTO Contact (Name, Email, Phone) SELECT 'Jo Wright','Jo.Wright@bentley.com','12569701111' WHERE NOT EXISTS (SELECT Name FROM Contact WHERE Name = 'Jo Wright');</v>
      </c>
      <c r="BJ24" t="str">
        <f>contactsSQL('Master Table'!BJ24)</f>
        <v>INSERT INTO Contact (Name, Email, Phone) SELECT 'Jo Wright','Jo.Wright@bentley.com','12569701111' WHERE NOT EXISTS (SELECT Name FROM Contact WHERE Name = 'Jo Wright');</v>
      </c>
      <c r="BK24" t="str">
        <f>contactsSQL('Master Table'!BK24)</f>
        <v>INSERT INTO Contact (Name, Email, Phone) SELECT 'Jo Wright','Jo.Wright@bentley.com','12569701111' WHERE NOT EXISTS (SELECT Name FROM Contact WHERE Name = 'Jo Wright');</v>
      </c>
      <c r="BL24" t="str">
        <f>contactsSQL('Master Table'!BL24)</f>
        <v>INSERT INTO Contact (Name, Email, Phone) SELECT 'Jo Wright','Jo.Wright@bentley.com','12569701111' WHERE NOT EXISTS (SELECT Name FROM Contact WHERE Name = 'Jo Wright');</v>
      </c>
    </row>
    <row r="25" spans="3:64" x14ac:dyDescent="0.25">
      <c r="C25" t="str">
        <f>contactsSQL('Master Table'!C25)</f>
        <v>INSERT INTO Contact (Name, Email, Phone) SELECT 'YuJin Lee','YuJin.Lee@bentley.com','82234685753' WHERE NOT EXISTS (SELECT Name FROM Contact WHERE Name = 'YuJin Lee');</v>
      </c>
      <c r="D25" t="str">
        <f>contactsSQL('Master Table'!D25)</f>
        <v>INSERT INTO Contact (Name, Email, Phone) SELECT 'YuJin Lee','YuJin.Lee@bentley.com','82234685753' WHERE NOT EXISTS (SELECT Name FROM Contact WHERE Name = 'YuJin Lee');</v>
      </c>
      <c r="E25" t="str">
        <f>contactsSQL('Master Table'!E25)</f>
        <v>INSERT INTO Contact (Name, Email, Phone) SELECT 'Madhan Elumalai','Madhan.Elumalai@bentley.com','6566926578' WHERE NOT EXISTS (SELECT Name FROM Contact WHERE Name = 'Madhan Elumalai');</v>
      </c>
      <c r="F25" t="str">
        <f>contactsSQL('Master Table'!F25)</f>
        <v>INSERT INTO Contact (Name, Email, Phone) SELECT 'Bitna Seo','Bitna.Seo@bentley.com','821050364530' WHERE NOT EXISTS (SELECT Name FROM Contact WHERE Name = 'Bitna Seo');</v>
      </c>
      <c r="G25" t="str">
        <f>contactsSQL('Master Table'!G25)</f>
        <v>INSERT INTO Contact (Name, Email, Phone) SELECT 'Ian Sevilla','Ian.Sevilla@bentley.com','61894311511' WHERE NOT EXISTS (SELECT Name FROM Contact WHERE Name = 'Ian Sevilla');</v>
      </c>
      <c r="H25" t="str">
        <f>contactsSQL('Master Table'!H25)</f>
        <v>INSERT INTO Contact (Name, Email, Phone) SELECT 'Bitna Seo','Bitna.Seo@bentley.com','821050364530' WHERE NOT EXISTS (SELECT Name FROM Contact WHERE Name = 'Bitna Seo');</v>
      </c>
      <c r="I25" t="str">
        <f>contactsSQL('Master Table'!I25)</f>
        <v>INSERT INTO Contact (Name, Email, Phone) SELECT 'Ignacio Almagro','Ignacio.Almagro@bentley.com','19543439336' WHERE NOT EXISTS (SELECT Name FROM Contact WHERE Name = 'Ignacio Almagro');</v>
      </c>
      <c r="J25" t="str">
        <f>contactsSQL('Master Table'!J25)</f>
        <v>INSERT INTO Contact (Name, Email, Phone) SELECT 'Ignacio Almagro','Ignacio.Almagro@bentley.com','19543439336' WHERE NOT EXISTS (SELECT Name FROM Contact WHERE Name = 'Ignacio Almagro');</v>
      </c>
      <c r="K25" t="str">
        <f>contactsSQL('Master Table'!K25)</f>
        <v>INSERT INTO Contact (Name, Email, Phone) SELECT 'Ignacio Almagro','Ignacio.Almagro@bentley.com','19543439336' WHERE NOT EXISTS (SELECT Name FROM Contact WHERE Name = 'Ignacio Almagro');</v>
      </c>
      <c r="L25" t="str">
        <f>contactsSQL('Master Table'!L25)</f>
        <v>INSERT INTO Contact (Name, Email, Phone) SELECT 'Ignacio Almagro','Ignacio.Almagro@bentley.com','19543439336' WHERE NOT EXISTS (SELECT Name FROM Contact WHERE Name = 'Ignacio Almagro');</v>
      </c>
      <c r="M25" t="str">
        <f>contactsSQL('Master Table'!M25)</f>
        <v>INSERT INTO Contact (Name, Email, Phone) SELECT 'Chris Croucher','Chris.Croucher@bentley.com','16103214606' WHERE NOT EXISTS (SELECT Name FROM Contact WHERE Name = 'Chris Croucher');</v>
      </c>
      <c r="N25" t="str">
        <f>contactsSQL('Master Table'!N25)</f>
        <v>INSERT INTO Contact (Name, Email, Phone) SELECT 'Stuart Milne','Stuart.Milne@bentley.com','' WHERE NOT EXISTS (SELECT Name FROM Contact WHERE Name = 'Stuart Milne');</v>
      </c>
      <c r="O25" t="str">
        <f>contactsSQL('Master Table'!O25)</f>
        <v>INSERT INTO Contact (Name, Email, Phone) SELECT 'Steve Brown','Steve.Brown@bentley.com','44' WHERE NOT EXISTS (SELECT Name FROM Contact WHERE Name = 'Steve Brown');</v>
      </c>
      <c r="P25" t="str">
        <f>contactsSQL('Master Table'!P25)</f>
        <v>INSERT INTO Contact (Name, Email, Phone) SELECT 'Steve Brown','Steve.Brown@bentley.com','44' WHERE NOT EXISTS (SELECT Name FROM Contact WHERE Name = 'Steve Brown');</v>
      </c>
      <c r="Q25" t="str">
        <f>contactsSQL('Master Table'!Q25)</f>
        <v>INSERT INTO Contact (Name, Email, Phone) SELECT 'JaYoung You','JaYoung.You@bentley.com','82234685754' WHERE NOT EXISTS (SELECT Name FROM Contact WHERE Name = 'JaYoung You');</v>
      </c>
      <c r="R25" t="str">
        <f>contactsSQL('Master Table'!R25)</f>
        <v>INSERT INTO Contact (Name, Email, Phone) SELECT 'JaYoung You','JaYoung.You@bentley.com','82234685754' WHERE NOT EXISTS (SELECT Name FROM Contact WHERE Name = 'JaYoung You');</v>
      </c>
      <c r="S25" t="str">
        <f>contactsSQL('Master Table'!S25)</f>
        <v>INSERT INTO Contact (Name, Email, Phone) SELECT 'JaYoung You','JaYoung.You@bentley.com','82234685754' WHERE NOT EXISTS (SELECT Name FROM Contact WHERE Name = 'JaYoung You');</v>
      </c>
      <c r="T25" t="str">
        <f>contactsSQL('Master Table'!T25)</f>
        <v>INSERT INTO Contact (Name, Email, Phone) SELECT 'Maylen Yee','Maylen.Yee@bentley.com','65' WHERE NOT EXISTS (SELECT Name FROM Contact WHERE Name = 'Maylen Yee');</v>
      </c>
      <c r="U25" t="str">
        <f>contactsSQL('Master Table'!U25)</f>
        <v/>
      </c>
      <c r="V25" t="str">
        <f>contactsSQL('Master Table'!V25)</f>
        <v>INSERT INTO Contact (Name, Email, Phone) SELECT 'Kevin McDonald','Kevin.McDonald@bentley.com','12569701123' WHERE NOT EXISTS (SELECT Name FROM Contact WHERE Name = 'Kevin McDonald');</v>
      </c>
      <c r="W25" t="str">
        <f>contactsSQL('Master Table'!W25)</f>
        <v>INSERT INTO Contact (Name, Email, Phone) SELECT 'JaYoung You','JaYoung.You@bentley.com','82234685754' WHERE NOT EXISTS (SELECT Name FROM Contact WHERE Name = 'JaYoung You');</v>
      </c>
      <c r="X25" t="str">
        <f>contactsSQL('Master Table'!X25)</f>
        <v/>
      </c>
      <c r="Y25" t="str">
        <f>contactsSQL('Master Table'!Y25)</f>
        <v>INSERT INTO Contact (Name, Email, Phone) SELECT 'Tim Lawrence','Tim.Lawrence@bentley.com','15873158588' WHERE NOT EXISTS (SELECT Name FROM Contact WHERE Name = 'Tim Lawrence');</v>
      </c>
      <c r="Z25" t="str">
        <f>contactsSQL('Master Table'!Z25)</f>
        <v/>
      </c>
      <c r="AA25" t="str">
        <f>contactsSQL('Master Table'!AA25)</f>
        <v>INSERT INTO Contact (Name, Email, Phone) SELECT 'Jawwad Baig','Jawwad.Baig@bentley.com','61732704304' WHERE NOT EXISTS (SELECT Name FROM Contact WHERE Name = 'Jawwad Baig');</v>
      </c>
      <c r="AB25" t="str">
        <f>contactsSQL('Master Table'!AB25)</f>
        <v>INSERT INTO Contact (Name, Email, Phone) SELECT 'Alain Beland','Alain.Beland@bentley.com','14188802022' WHERE NOT EXISTS (SELECT Name FROM Contact WHERE Name = 'Alain Beland');</v>
      </c>
      <c r="AC25" t="str">
        <f>contactsSQL('Master Table'!AC25)</f>
        <v>INSERT INTO Contact (Name, Email, Phone) SELECT 'Peter Alspaugh','Peter.Alspaugh@bentley.com','18322172816' WHERE NOT EXISTS (SELECT Name FROM Contact WHERE Name = 'Peter Alspaugh');</v>
      </c>
      <c r="AD25" t="str">
        <f>contactsSQL('Master Table'!AD25)</f>
        <v>INSERT INTO Contact (Name, Email, Phone) SELECT 'Felix Zhou','Felix.Zhou@bentley.com','862122873806' WHERE NOT EXISTS (SELECT Name FROM Contact WHERE Name = 'Felix Zhou');</v>
      </c>
      <c r="AE25" t="str">
        <f>contactsSQL('Master Table'!AE25)</f>
        <v>INSERT INTO Contact (Name, Email, Phone) SELECT 'Felix Zhou','Felix.Zhou@bentley.com','862122873806' WHERE NOT EXISTS (SELECT Name FROM Contact WHERE Name = 'Felix Zhou');</v>
      </c>
      <c r="AF25" t="str">
        <f>contactsSQL('Master Table'!AF25)</f>
        <v>INSERT INTO Contact (Name, Email, Phone) SELECT 'Felix Zhou','Felix.Zhou@bentley.com','862122873806' WHERE NOT EXISTS (SELECT Name FROM Contact WHERE Name = 'Felix Zhou');</v>
      </c>
      <c r="AG25" t="str">
        <f>contactsSQL('Master Table'!AG25)</f>
        <v>INSERT INTO Contact (Name, Email, Phone) SELECT 'Felix Zhou','Felix.Zhou@bentley.com','862122873806' WHERE NOT EXISTS (SELECT Name FROM Contact WHERE Name = 'Felix Zhou');</v>
      </c>
      <c r="AH25" t="str">
        <f>contactsSQL('Master Table'!AH25)</f>
        <v>INSERT INTO Contact (Name, Email, Phone) SELECT 'Adam Smith','Adam.Smith@bentley.com','' WHERE NOT EXISTS (SELECT Name FROM Contact WHERE Name = 'Adam Smith');</v>
      </c>
      <c r="AI25" t="str">
        <f>contactsSQL('Master Table'!AI25)</f>
        <v/>
      </c>
      <c r="AJ25" t="str">
        <f>contactsSQL('Master Table'!AJ25)</f>
        <v>INSERT INTO Contact (Name, Email, Phone) SELECT 'Engteck Soon','Engteck.Soon@bentley.com','61396978647' WHERE NOT EXISTS (SELECT Name FROM Contact WHERE Name = 'Engteck Soon');</v>
      </c>
      <c r="AK25" t="str">
        <f>contactsSQL('Master Table'!AK25)</f>
        <v>INSERT INTO Contact (Name, Email, Phone) SELECT 'Engteck Soon','Engteck.Soon@bentley.com','61396978647' WHERE NOT EXISTS (SELECT Name FROM Contact WHERE Name = 'Engteck Soon');</v>
      </c>
      <c r="AL25" t="str">
        <f>contactsSQL('Master Table'!AL25)</f>
        <v>INSERT INTO Contact (Name, Email, Phone) SELECT 'Linda Oliveira','Linda.Oliveira@bentley.com','16104586084' WHERE NOT EXISTS (SELECT Name FROM Contact WHERE Name = 'Linda Oliveira');</v>
      </c>
      <c r="AM25" t="str">
        <f>contactsSQL('Master Table'!AM25)</f>
        <v>INSERT INTO Contact (Name, Email, Phone) SELECT 'Linda Oliveira','Linda.Oliveira@bentley.com','16104586084' WHERE NOT EXISTS (SELECT Name FROM Contact WHERE Name = 'Linda Oliveira');</v>
      </c>
      <c r="AN25" t="str">
        <f>contactsSQL('Master Table'!AN25)</f>
        <v>INSERT INTO Contact (Name, Email, Phone) SELECT 'Lon Opp','Lon.Opp@bentley.com','12569701127' WHERE NOT EXISTS (SELECT Name FROM Contact WHERE Name = 'Lon Opp');</v>
      </c>
      <c r="AO25" t="str">
        <f>contactsSQL('Master Table'!AO25)</f>
        <v>INSERT INTO Contact (Name, Email, Phone) SELECT 'Clive Hackforth','Clive.Hackforth@bentley.com','442078610933' WHERE NOT EXISTS (SELECT Name FROM Contact WHERE Name = 'Clive Hackforth');</v>
      </c>
      <c r="AP25" t="str">
        <f>contactsSQL('Master Table'!AP25)</f>
        <v>INSERT INTO Contact (Name, Email, Phone) SELECT 'MSV Rao','MSV.Rao@bentley.com','919820223761' WHERE NOT EXISTS (SELECT Name FROM Contact WHERE Name = 'MSV Rao');</v>
      </c>
      <c r="AQ25" t="str">
        <f>contactsSQL('Master Table'!AQ25)</f>
        <v>INSERT INTO Contact (Name, Email, Phone) SELECT 'Joanna Slowinska','Joanna.Slowinska@bentley.com','442078610317' WHERE NOT EXISTS (SELECT Name FROM Contact WHERE Name = 'Joanna Slowinska');</v>
      </c>
      <c r="AR25" t="str">
        <f>contactsSQL('Master Table'!AR25)</f>
        <v>INSERT INTO Contact (Name, Email, Phone) SELECT 'Richard Ellis','Richard.Ellis@bentley.com','6421611832' WHERE NOT EXISTS (SELECT Name FROM Contact WHERE Name = 'Richard Ellis');</v>
      </c>
      <c r="AS25" t="str">
        <f>contactsSQL('Master Table'!AS25)</f>
        <v>INSERT INTO Contact (Name, Email, Phone) SELECT 'Neil Pickin','Neil.Pickin@bentley.com','441619731462' WHERE NOT EXISTS (SELECT Name FROM Contact WHERE Name = 'Neil Pickin');</v>
      </c>
      <c r="AT25" t="str">
        <f>contactsSQL('Master Table'!AT25)</f>
        <v>INSERT INTO Contact (Name, Email, Phone) SELECT 'Mark Mazzeo','Mark.Mazzeo@bentley.com','14122303034' WHERE NOT EXISTS (SELECT Name FROM Contact WHERE Name = 'Mark Mazzeo');</v>
      </c>
      <c r="AU25" t="str">
        <f>contactsSQL('Master Table'!AU25)</f>
        <v>INSERT INTO Contact (Name, Email, Phone) SELECT 'Paul Johnson','Paul.Johnson@bentley.com','16104583191' WHERE NOT EXISTS (SELECT Name FROM Contact WHERE Name = 'Paul Johnson');</v>
      </c>
      <c r="AV25" t="str">
        <f>contactsSQL('Master Table'!AV25)</f>
        <v>INSERT INTO Contact (Name, Email, Phone) SELECT 'Amol Sonawane','Amol.Sonawane@bentley.com','912066021201' WHERE NOT EXISTS (SELECT Name FROM Contact WHERE Name = 'Amol Sonawane');</v>
      </c>
      <c r="AW25" t="str">
        <f>contactsSQL('Master Table'!AW25)</f>
        <v>INSERT INTO Contact (Name, Email, Phone) SELECT 'Ranveer Basra','Ranveer.Basra@bentley.com','16104582950' WHERE NOT EXISTS (SELECT Name FROM Contact WHERE Name = 'Ranveer Basra');</v>
      </c>
      <c r="AX25" t="str">
        <f>contactsSQL('Master Table'!AX25)</f>
        <v>INSERT INTO Contact (Name, Email, Phone) SELECT 'Amol Sonawane','Amol.Sonawane@bentley.com','912066021201' WHERE NOT EXISTS (SELECT Name FROM Contact WHERE Name = 'Amol Sonawane');</v>
      </c>
      <c r="AY25" t="str">
        <f>contactsSQL('Master Table'!AY25)</f>
        <v>INSERT INTO Contact (Name, Email, Phone) SELECT 'Amol Sonawane','Amol.Sonawane@bentley.com','912066021201' WHERE NOT EXISTS (SELECT Name FROM Contact WHERE Name = 'Amol Sonawane');</v>
      </c>
      <c r="AZ25" t="str">
        <f>contactsSQL('Master Table'!AZ25)</f>
        <v>INSERT INTO Contact (Name, Email, Phone) SELECT 'Amol Sonawane','Amol.Sonawane@bentley.com','912066021201' WHERE NOT EXISTS (SELECT Name FROM Contact WHERE Name = 'Amol Sonawane');</v>
      </c>
      <c r="BA25" t="str">
        <f>contactsSQL('Master Table'!BA25)</f>
        <v>INSERT INTO Contact (Name, Email, Phone) SELECT 'Amol Sonawane','Amol.Sonawane@bentley.com','912066021201' WHERE NOT EXISTS (SELECT Name FROM Contact WHERE Name = 'Amol Sonawane');</v>
      </c>
      <c r="BB25" t="str">
        <f>contactsSQL('Master Table'!BB25)</f>
        <v>INSERT INTO Contact (Name, Email, Phone) SELECT 'Amol Sonawane','Amol.Sonawane@bentley.com','912066021201' WHERE NOT EXISTS (SELECT Name FROM Contact WHERE Name = 'Amol Sonawane');</v>
      </c>
      <c r="BC25" t="str">
        <f>contactsSQL('Master Table'!BC25)</f>
        <v>INSERT INTO Contact (Name, Email, Phone) SELECT 'Amol Sonawane','Amol.Sonawane@bentley.com','912066021201' WHERE NOT EXISTS (SELECT Name FROM Contact WHERE Name = 'Amol Sonawane');</v>
      </c>
      <c r="BD25" t="str">
        <f>contactsSQL('Master Table'!BD25)</f>
        <v>INSERT INTO Contact (Name, Email, Phone) SELECT 'Paul Johnson','Paul.Johnson@bentley.com','16104583191' WHERE NOT EXISTS (SELECT Name FROM Contact WHERE Name = 'Paul Johnson');</v>
      </c>
      <c r="BE25" t="str">
        <f>contactsSQL('Master Table'!BE25)</f>
        <v>INSERT INTO Contact (Name, Email, Phone) SELECT 'Paul Johnson','Paul.Johnson@bentley.com','16104583191' WHERE NOT EXISTS (SELECT Name FROM Contact WHERE Name = 'Paul Johnson');</v>
      </c>
      <c r="BF25" t="str">
        <f>contactsSQL('Master Table'!BF25)</f>
        <v>INSERT INTO Contact (Name, Email, Phone) SELECT 'Matt Starke','Matt.Starke@bentley.com','15102502118' WHERE NOT EXISTS (SELECT Name FROM Contact WHERE Name = 'Matt Starke');</v>
      </c>
      <c r="BG25" t="str">
        <f>contactsSQL('Master Table'!BG25)</f>
        <v>INSERT INTO Contact (Name, Email, Phone) SELECT 'Molly Watts','Molly.Watts@bentley.com','16104583183' WHERE NOT EXISTS (SELECT Name FROM Contact WHERE Name = 'Molly Watts');</v>
      </c>
      <c r="BH25" t="str">
        <f>contactsSQL('Master Table'!BH25)</f>
        <v>INSERT INTO Contact (Name, Email, Phone) SELECT 'Amol Sonawane','Amol.Sonawane@bentley.com','912066021201' WHERE NOT EXISTS (SELECT Name FROM Contact WHERE Name = 'Amol Sonawane');</v>
      </c>
      <c r="BI25" t="str">
        <f>contactsSQL('Master Table'!BI25)</f>
        <v>INSERT INTO Contact (Name, Email, Phone) SELECT 'Amol Sonawane','Amol.Sonawane@bentley.com','912066021201' WHERE NOT EXISTS (SELECT Name FROM Contact WHERE Name = 'Amol Sonawane');</v>
      </c>
      <c r="BJ25" t="str">
        <f>contactsSQL('Master Table'!BJ25)</f>
        <v>INSERT INTO Contact (Name, Email, Phone) SELECT 'Amol Sonawane','Amol.Sonawane@bentley.com','912066021201' WHERE NOT EXISTS (SELECT Name FROM Contact WHERE Name = 'Amol Sonawane');</v>
      </c>
      <c r="BK25" t="str">
        <f>contactsSQL('Master Table'!BK25)</f>
        <v>INSERT INTO Contact (Name, Email, Phone) SELECT 'Amol Sonawane','Amol.Sonawane@bentley.com','912066021201' WHERE NOT EXISTS (SELECT Name FROM Contact WHERE Name = 'Amol Sonawane');</v>
      </c>
      <c r="BL25" t="str">
        <f>contactsSQL('Master Table'!BL25)</f>
        <v>INSERT INTO Contact (Name, Email, Phone) SELECT 'Amol Sonawane','Amol.Sonawane@bentley.com','912066021201' WHERE NOT EXISTS (SELECT Name FROM Contact WHERE Name = 'Amol Sonawane');</v>
      </c>
    </row>
    <row r="26" spans="3:64" x14ac:dyDescent="0.25">
      <c r="C26" t="str">
        <f>contactsSQL('Master Table'!C26)</f>
        <v>INSERT INTO Contact (Name, Email, Phone) SELECT 'Clark McDonald','','17707540771' WHERE NOT EXISTS (SELECT Name FROM Contact WHERE Name = 'Clark McDonald');</v>
      </c>
      <c r="D26" t="str">
        <f>contactsSQL('Master Table'!D26)</f>
        <v>INSERT INTO Contact (Name, Email, Phone) SELECT 'Clark McDonald','','17707540771' WHERE NOT EXISTS (SELECT Name FROM Contact WHERE Name = 'Clark McDonald');</v>
      </c>
      <c r="E26" t="str">
        <f>contactsSQL('Master Table'!E26)</f>
        <v>INSERT INTO Contact (Name, Email, Phone) SELECT 'Clark McDonald','','17707540771' WHERE NOT EXISTS (SELECT Name FROM Contact WHERE Name = 'Clark McDonald');</v>
      </c>
      <c r="F26" t="str">
        <f>contactsSQL('Master Table'!F26)</f>
        <v>INSERT INTO Contact (Name, Email, Phone) SELECT 'Clark McDonald','','17707540771' WHERE NOT EXISTS (SELECT Name FROM Contact WHERE Name = 'Clark McDonald');</v>
      </c>
      <c r="G26" t="str">
        <f>contactsSQL('Master Table'!G26)</f>
        <v>INSERT INTO Contact (Name, Email, Phone) SELECT 'Clark McDonald','','17707540771' WHERE NOT EXISTS (SELECT Name FROM Contact WHERE Name = 'Clark McDonald');</v>
      </c>
      <c r="H26" t="str">
        <f>contactsSQL('Master Table'!H26)</f>
        <v>INSERT INTO Contact (Name, Email, Phone) SELECT 'Clark McDonald','','17707540771' WHERE NOT EXISTS (SELECT Name FROM Contact WHERE Name = 'Clark McDonald');</v>
      </c>
      <c r="I26" t="str">
        <f>contactsSQL('Master Table'!I26)</f>
        <v/>
      </c>
      <c r="J26" t="str">
        <f>contactsSQL('Master Table'!J26)</f>
        <v/>
      </c>
      <c r="K26" t="str">
        <f>contactsSQL('Master Table'!K26)</f>
        <v/>
      </c>
      <c r="L26" t="str">
        <f>contactsSQL('Master Table'!L26)</f>
        <v/>
      </c>
      <c r="M26" t="str">
        <f>contactsSQL('Master Table'!M26)</f>
        <v>INSERT INTO Contact (Name, Email, Phone) SELECT 'Clark McDonald','','17707540771' WHERE NOT EXISTS (SELECT Name FROM Contact WHERE Name = 'Clark McDonald');</v>
      </c>
      <c r="N26" t="str">
        <f>contactsSQL('Master Table'!N26)</f>
        <v>INSERT INTO Contact (Name, Email, Phone) SELECT 'Pradip Maity','Pradip.Maity@bentley.com','6566926576' WHERE NOT EXISTS (SELECT Name FROM Contact WHERE Name = 'Pradip Maity');</v>
      </c>
      <c r="O26" t="str">
        <f>contactsSQL('Master Table'!O26)</f>
        <v>INSERT INTO Contact (Name, Email, Phone) SELECT 'Pradip Maity','Pradip.Maity@bentley.com','6566926576' WHERE NOT EXISTS (SELECT Name FROM Contact WHERE Name = 'Pradip Maity');</v>
      </c>
      <c r="P26" t="str">
        <f>contactsSQL('Master Table'!P26)</f>
        <v>INSERT INTO Contact (Name, Email, Phone) SELECT 'Sai Selvakumar','Sai.Selvakumar@bentley.com','61396978657' WHERE NOT EXISTS (SELECT Name FROM Contact WHERE Name = 'Sai Selvakumar');</v>
      </c>
      <c r="Q26" t="str">
        <f>contactsSQL('Master Table'!Q26)</f>
        <v>INSERT INTO Contact (Name, Email, Phone) SELECT 'Sai Selvakumar','Sai.Selvakumar@bentley.com','61396978657' WHERE NOT EXISTS (SELECT Name FROM Contact WHERE Name = 'Sai Selvakumar');</v>
      </c>
      <c r="R26" t="str">
        <f>contactsSQL('Master Table'!R26)</f>
        <v>INSERT INTO Contact (Name, Email, Phone) SELECT 'Raj Dodda','Raj.Dodda@bentley.com','61288778805' WHERE NOT EXISTS (SELECT Name FROM Contact WHERE Name = 'Raj Dodda');</v>
      </c>
      <c r="S26" t="str">
        <f>contactsSQL('Master Table'!S26)</f>
        <v>INSERT INTO Contact (Name, Email, Phone) SELECT 'Raj Dodda','Raj.Dodda@bentley.com','61288778805' WHERE NOT EXISTS (SELECT Name FROM Contact WHERE Name = 'Raj Dodda');</v>
      </c>
      <c r="T26" t="str">
        <f>contactsSQL('Master Table'!T26)</f>
        <v>INSERT INTO Contact (Name, Email, Phone) SELECT 'Raj Dodda','Raj.Dodda@bentley.com','61288778805' WHERE NOT EXISTS (SELECT Name FROM Contact WHERE Name = 'Raj Dodda');</v>
      </c>
      <c r="U26" t="str">
        <f>contactsSQL('Master Table'!U26)</f>
        <v>INSERT INTO Contact (Name, Email, Phone) SELECT 'Raj Dodda','Raj.Dodda@bentley.com','61288778805' WHERE NOT EXISTS (SELECT Name FROM Contact WHERE Name = 'Raj Dodda');</v>
      </c>
      <c r="V26" t="str">
        <f>contactsSQL('Master Table'!V26)</f>
        <v>INSERT INTO Contact (Name, Email, Phone) SELECT 'Raj Dodda','Raj.Dodda@bentley.com','61288778805' WHERE NOT EXISTS (SELECT Name FROM Contact WHERE Name = 'Raj Dodda');</v>
      </c>
      <c r="W26" t="str">
        <f>contactsSQL('Master Table'!W26)</f>
        <v>INSERT INTO Contact (Name, Email, Phone) SELECT 'Raj Dodda','Raj.Dodda@bentley.com','61288778805' WHERE NOT EXISTS (SELECT Name FROM Contact WHERE Name = 'Raj Dodda');</v>
      </c>
      <c r="X26" t="str">
        <f>contactsSQL('Master Table'!X26)</f>
        <v>INSERT INTO Contact (Name, Email, Phone) SELECT 'Sai Selvakumar','Sai.Selvakumar@bentley.com','61396978657' WHERE NOT EXISTS (SELECT Name FROM Contact WHERE Name = 'Sai Selvakumar');</v>
      </c>
      <c r="Y26" t="str">
        <f>contactsSQL('Master Table'!Y26)</f>
        <v>INSERT INTO Contact (Name, Email, Phone) SELECT 'Sai Selvakumar','Sai.Selvakumar@bentley.com','61396978657' WHERE NOT EXISTS (SELECT Name FROM Contact WHERE Name = 'Sai Selvakumar');</v>
      </c>
      <c r="Z26" t="str">
        <f>contactsSQL('Master Table'!Z26)</f>
        <v>INSERT INTO Contact (Name, Email, Phone) SELECT 'Sai Selvakumar','Sai.Selvakumar@bentley.com','61396978657' WHERE NOT EXISTS (SELECT Name FROM Contact WHERE Name = 'Sai Selvakumar');</v>
      </c>
      <c r="AA26" t="str">
        <f>contactsSQL('Master Table'!AA26)</f>
        <v>INSERT INTO Contact (Name, Email, Phone) SELECT 'Sai Selvakumar','Sai.Selvakumar@bentley.com','61396978657' WHERE NOT EXISTS (SELECT Name FROM Contact WHERE Name = 'Sai Selvakumar');</v>
      </c>
      <c r="AB26" t="str">
        <f>contactsSQL('Master Table'!AB26)</f>
        <v>INSERT INTO Contact (Name, Email, Phone) SELECT 'Sai Selvakumar','Sai.Selvakumar@bentley.com','61396978657' WHERE NOT EXISTS (SELECT Name FROM Contact WHERE Name = 'Sai Selvakumar');</v>
      </c>
      <c r="AC26" t="str">
        <f>contactsSQL('Master Table'!AC26)</f>
        <v>INSERT INTO Contact (Name, Email, Phone) SELECT 'Sai Selvakumar','Sai.Selvakumar@bentley.com','61396978657' WHERE NOT EXISTS (SELECT Name FROM Contact WHERE Name = 'Sai Selvakumar');</v>
      </c>
      <c r="AD26" t="str">
        <f>contactsSQL('Master Table'!AD26)</f>
        <v>INSERT INTO Contact (Name, Email, Phone) SELECT 'Sai Selvakumar','Sai.Selvakumar@bentley.com','61396978657' WHERE NOT EXISTS (SELECT Name FROM Contact WHERE Name = 'Sai Selvakumar');</v>
      </c>
      <c r="AE26" t="str">
        <f>contactsSQL('Master Table'!AE26)</f>
        <v>INSERT INTO Contact (Name, Email, Phone) SELECT 'Sai Selvakumar','Sai.Selvakumar@bentley.com','61396978657' WHERE NOT EXISTS (SELECT Name FROM Contact WHERE Name = 'Sai Selvakumar');</v>
      </c>
      <c r="AF26" t="str">
        <f>contactsSQL('Master Table'!AF26)</f>
        <v>INSERT INTO Contact (Name, Email, Phone) SELECT 'Sai Selvakumar','Sai.Selvakumar@bentley.com','61396978657' WHERE NOT EXISTS (SELECT Name FROM Contact WHERE Name = 'Sai Selvakumar');</v>
      </c>
      <c r="AG26" t="str">
        <f>contactsSQL('Master Table'!AG26)</f>
        <v>INSERT INTO Contact (Name, Email, Phone) SELECT 'Sai Selvakumar','Sai.Selvakumar@bentley.com','61396978657' WHERE NOT EXISTS (SELECT Name FROM Contact WHERE Name = 'Sai Selvakumar');</v>
      </c>
      <c r="AH26" t="str">
        <f>contactsSQL('Master Table'!AH26)</f>
        <v>INSERT INTO Contact (Name, Email, Phone) SELECT 'Sai Selvakumar','Sai.Selvakumar@bentley.com','61396978657' WHERE NOT EXISTS (SELECT Name FROM Contact WHERE Name = 'Sai Selvakumar');</v>
      </c>
      <c r="AI26" t="str">
        <f>contactsSQL('Master Table'!AI26)</f>
        <v>INSERT INTO Contact (Name, Email, Phone) SELECT 'Sai Selvakumar','Sai.Selvakumar@bentley.com','61396978657' WHERE NOT EXISTS (SELECT Name FROM Contact WHERE Name = 'Sai Selvakumar');</v>
      </c>
      <c r="AJ26" t="str">
        <f>contactsSQL('Master Table'!AJ26)</f>
        <v>INSERT INTO Contact (Name, Email, Phone) SELECT 'George Castle','George.Castle@bentley.com','12148507553' WHERE NOT EXISTS (SELECT Name FROM Contact WHERE Name = 'George Castle');</v>
      </c>
      <c r="AK26" t="str">
        <f>contactsSQL('Master Table'!AK26)</f>
        <v>INSERT INTO Contact (Name, Email, Phone) SELECT 'David Smith','David.Smith@bentley.com','441349865554' WHERE NOT EXISTS (SELECT Name FROM Contact WHERE Name = 'David Smith');</v>
      </c>
      <c r="AL26" t="str">
        <f>contactsSQL('Master Table'!AL26)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M26" t="str">
        <f>contactsSQL('Master Table'!AM26)</f>
        <v>INSERT INTO Contact (Name, Email, Phone) SELECT 'Gaurav Malik','Gaurav.Malik@bentley.com','91' WHERE NOT EXISTS (SELECT Name FROM Contact WHERE Name = 'Gaurav Malik');INSERT INTO Contact (Name, Email, Phone) SELECT 'Suneet Manjavkar','Suneet.Manjavkar@bentley.com','1149021128' WHERE NOT EXISTS (SELECT Name FROM Contact WHERE Name = 'Suneet Manjavkar');</v>
      </c>
      <c r="AN26" t="str">
        <f>contactsSQL('Master Table'!AN26)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O26" t="str">
        <f>contactsSQL('Master Table'!AO26)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26" t="str">
        <f>contactsSQL('Master Table'!AP26)</f>
        <v>INSERT INTO Contact (Name, Email, Phone) SELECT 'Vincent Ng','Vincent.Ng@bentley.com','60379403432' WHERE NOT EXISTS (SELECT Name FROM Contact WHERE Name = 'Vincent Ng');</v>
      </c>
      <c r="AQ26" t="str">
        <f>contactsSQL('Master Table'!AQ26)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26" t="str">
        <f>contactsSQL('Master Table'!AR26)</f>
        <v>INSERT INTO Contact (Name, Email, Phone) SELECT 'Dan Vogen','Dan.Vogen@bentley.com','16309816500' WHERE NOT EXISTS (SELECT Name FROM Contact WHERE Name = 'Dan Vogen');</v>
      </c>
      <c r="AS26" t="str">
        <f>contactsSQL('Master Table'!AS26)</f>
        <v>INSERT INTO Contact (Name, Email, Phone) SELECT 'David Smith','David.Smith@bentley.com','441349865554' WHERE NOT EXISTS (SELECT Name FROM Contact WHERE Name = 'David Smith');</v>
      </c>
      <c r="AT26" t="str">
        <f>contactsSQL('Master Table'!AT26)</f>
        <v>INSERT INTO Contact (Name, Email, Phone) SELECT 'Ben Witter','Ben.Witter@bentley.com','12676642491' WHERE NOT EXISTS (SELECT Name FROM Contact WHERE Name = 'Ben Witter');</v>
      </c>
      <c r="AU26" t="str">
        <f>contactsSQL('Master Table'!AU26)</f>
        <v>INSERT INTO Contact (Name, Email, Phone) SELECT 'Eric Crivella','Eric.Crivella@bentley.com','18322172802' WHERE NOT EXISTS (SELECT Name FROM Contact WHERE Name = 'Eric Crivella');</v>
      </c>
      <c r="AV26" t="str">
        <f>contactsSQL('Master Table'!AV26)</f>
        <v>INSERT INTO Contact (Name, Email, Phone) SELECT 'Paul King','Paul.King@bentley.com','61288778810' WHERE NOT EXISTS (SELECT Name FROM Contact WHERE Name = 'Paul King');</v>
      </c>
      <c r="AW26" t="str">
        <f>contactsSQL('Master Table'!AW26)</f>
        <v>INSERT INTO Contact (Name, Email, Phone) SELECT 'Paul King','Paul.King@bentley.com','61288778810' WHERE NOT EXISTS (SELECT Name FROM Contact WHERE Name = 'Paul King');</v>
      </c>
      <c r="AX26" t="str">
        <f>contactsSQL('Master Table'!AX26)</f>
        <v>INSERT INTO Contact (Name, Email, Phone) SELECT 'Paul King','Paul.King@bentley.com','61288778810' WHERE NOT EXISTS (SELECT Name FROM Contact WHERE Name = 'Paul King');</v>
      </c>
      <c r="AY26" t="str">
        <f>contactsSQL('Master Table'!AY26)</f>
        <v>INSERT INTO Contact (Name, Email, Phone) SELECT 'Paul King','Paul.King@bentley.com','61288778810' WHERE NOT EXISTS (SELECT Name FROM Contact WHERE Name = 'Paul King');</v>
      </c>
      <c r="AZ26" t="str">
        <f>contactsSQL('Master Table'!AZ26)</f>
        <v>INSERT INTO Contact (Name, Email, Phone) SELECT 'Paul King','Paul.King@bentley.com','61288778810' WHERE NOT EXISTS (SELECT Name FROM Contact WHERE Name = 'Paul King');</v>
      </c>
      <c r="BA26" t="str">
        <f>contactsSQL('Master Table'!BA26)</f>
        <v>INSERT INTO Contact (Name, Email, Phone) SELECT 'Paul King','Paul.King@bentley.com','61288778810' WHERE NOT EXISTS (SELECT Name FROM Contact WHERE Name = 'Paul King');</v>
      </c>
      <c r="BB26" t="str">
        <f>contactsSQL('Master Table'!BB26)</f>
        <v>INSERT INTO Contact (Name, Email, Phone) SELECT 'Paul King','Paul.King@bentley.com','61288778810' WHERE NOT EXISTS (SELECT Name FROM Contact WHERE Name = 'Paul King');</v>
      </c>
      <c r="BC26" t="str">
        <f>contactsSQL('Master Table'!BC26)</f>
        <v>INSERT INTO Contact (Name, Email, Phone) SELECT 'Paul King','Paul.King@bentley.com','61288778810' WHERE NOT EXISTS (SELECT Name FROM Contact WHERE Name = 'Paul King');</v>
      </c>
      <c r="BD26" t="str">
        <f>contactsSQL('Master Table'!BD26)</f>
        <v>INSERT INTO Contact (Name, Email, Phone) SELECT 'Steven Chau','steven.chau@bentley.com','' WHERE NOT EXISTS (SELECT Name FROM Contact WHERE Name = 'Steven Chau');</v>
      </c>
      <c r="BE26" t="str">
        <f>contactsSQL('Master Table'!BE26)</f>
        <v>INSERT INTO Contact (Name, Email, Phone) SELECT 'Eric Crivella','Eric.Crivella@bentley.com','18322172802' WHERE NOT EXISTS (SELECT Name FROM Contact WHERE Name = 'Eric Crivella');</v>
      </c>
      <c r="BF26" t="str">
        <f>contactsSQL('Master Table'!BF26)</f>
        <v>INSERT INTO Contact (Name, Email, Phone) SELECT 'Eric Law','Eric.Law@bentley.com','15102502114' WHERE NOT EXISTS (SELECT Name FROM Contact WHERE Name = 'Eric Law');</v>
      </c>
      <c r="BG26" t="str">
        <f>contactsSQL('Master Table'!BG26)</f>
        <v>INSERT INTO Contact (Name, Email, Phone) SELECT 'Paul King','Paul.King@bentley.com','61288778810' WHERE NOT EXISTS (SELECT Name FROM Contact WHERE Name = 'Paul King');</v>
      </c>
      <c r="BH26" t="str">
        <f>contactsSQL('Master Table'!BH26)</f>
        <v>INSERT INTO Contact (Name, Email, Phone) SELECT 'Paul King','Paul.King@bentley.com','61288778810' WHERE NOT EXISTS (SELECT Name FROM Contact WHERE Name = 'Paul King');</v>
      </c>
      <c r="BI26" t="str">
        <f>contactsSQL('Master Table'!BI26)</f>
        <v>INSERT INTO Contact (Name, Email, Phone) SELECT 'Paul King','Paul.King@bentley.com','61288778810' WHERE NOT EXISTS (SELECT Name FROM Contact WHERE Name = 'Paul King');</v>
      </c>
      <c r="BJ26" t="str">
        <f>contactsSQL('Master Table'!BJ26)</f>
        <v>INSERT INTO Contact (Name, Email, Phone) SELECT 'Paul King','Paul.King@bentley.com','61288778810' WHERE NOT EXISTS (SELECT Name FROM Contact WHERE Name = 'Paul King');</v>
      </c>
      <c r="BK26" t="str">
        <f>contactsSQL('Master Table'!BK26)</f>
        <v>INSERT INTO Contact (Name, Email, Phone) SELECT 'Paul King','Paul.King@bentley.com','61288778810' WHERE NOT EXISTS (SELECT Name FROM Contact WHERE Name = 'Paul King');</v>
      </c>
      <c r="BL26" t="str">
        <f>contactsSQL('Master Table'!BL26)</f>
        <v>INSERT INTO Contact (Name, Email, Phone) SELECT 'Paul King','Paul.King@bentley.com','61288778810' WHERE NOT EXISTS (SELECT Name FROM Contact WHERE Name = 'Paul King');</v>
      </c>
    </row>
    <row r="27" spans="3:64" x14ac:dyDescent="0.25">
      <c r="C27" t="str">
        <f>contactsSQL('Master Table'!C27)</f>
        <v>INSERT INTO Contact (Name, Email, Phone) SELECT 'Carlos Aguera','Carlos.Aguera@bentley.com','442078610973' WHERE NOT EXISTS (SELECT Name FROM Contact WHERE Name = 'Carlos Aguera');</v>
      </c>
      <c r="D27" t="str">
        <f>contactsSQL('Master Table'!D27)</f>
        <v>INSERT INTO Contact (Name, Email, Phone) SELECT 'Allen Adams','Allen.Adams@bentley.com','17604313610' WHERE NOT EXISTS (SELECT Name FROM Contact WHERE Name = 'Allen Adams');</v>
      </c>
      <c r="E27" t="str">
        <f>contactsSQL('Master Table'!E27)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27" t="str">
        <f>contactsSQL('Master Table'!F27)</f>
        <v>INSERT INTO Contact (Name, Email, Phone) SELECT 'Parvinder Jhita','Parvinder.Jhita@bentley.com','1' WHERE NOT EXISTS (SELECT Name FROM Contact WHERE Name = 'Parvinder Jhita');</v>
      </c>
      <c r="G27" t="str">
        <f>contactsSQL('Master Table'!G27)</f>
        <v>INSERT INTO Contact (Name, Email, Phone) SELECT 'Pat Couser','Pat.Couser@bentley.com','' WHERE NOT EXISTS (SELECT Name FROM Contact WHERE Name = 'Pat Couser');</v>
      </c>
      <c r="H27" t="str">
        <f>contactsSQL('Master Table'!H27)</f>
        <v>INSERT INTO Contact (Name, Email, Phone) SELECT 'Georgina Maldonado','Georgina.Maldonado@bentley.com','7133608369' WHERE NOT EXISTS (SELECT Name FROM Contact WHERE Name = 'Georgina Maldonado');</v>
      </c>
      <c r="I27" t="str">
        <f>contactsSQL('Master Table'!I27)</f>
        <v>INSERT INTO Contact (Name, Email, Phone) SELECT 'Gregor Strekelj','Gregor.Strekelj@bentley.com','4331682153165' WHERE NOT EXISTS (SELECT Name FROM Contact WHERE Name = 'Gregor Strekelj');</v>
      </c>
      <c r="J27" t="str">
        <f>contactsSQL('Master Table'!J27)</f>
        <v>INSERT INTO Contact (Name, Email, Phone) SELECT 'Xin Luo','Xin.Luo@bentley.com','19543439359' WHERE NOT EXISTS (SELECT Name FROM Contact WHERE Name = 'Xin Luo');</v>
      </c>
      <c r="K27" t="str">
        <f>contactsSQL('Master Table'!K27)</f>
        <v>INSERT INTO Contact (Name, Email, Phone) SELECT 'Sri Kanneganti','Sri.Kanneganti@bentley.com','19543439325' WHERE NOT EXISTS (SELECT Name FROM Contact WHERE Name = 'Sri Kanneganti');</v>
      </c>
      <c r="L27" t="str">
        <f>contactsSQL('Master Table'!L27)</f>
        <v>INSERT INTO Contact (Name, Email, Phone) SELECT 'Bill Beyer','Bill.Beyer@bentley.com','18166667568' WHERE NOT EXISTS (SELECT Name FROM Contact WHERE Name = 'Bill Beyer');</v>
      </c>
      <c r="M27" t="str">
        <f>contactsSQL('Master Table'!M27)</f>
        <v>INSERT INTO Contact (Name, Email, Phone) SELECT 'David Settlemeyer','David.Settlemyer@bentley.com','16103214610' WHERE NOT EXISTS (SELECT Name FROM Contact WHERE Name = 'David Settlemeyer');</v>
      </c>
      <c r="N27" t="str">
        <f>contactsSQL('Master Table'!N27)</f>
        <v>INSERT INTO Contact (Name, Email, Phone) SELECT 'Andy Smith','Andy.Smith@bentley.com','7046630319' WHERE NOT EXISTS (SELECT Name FROM Contact WHERE Name = 'Andy Smith');</v>
      </c>
      <c r="O27" t="str">
        <f>contactsSQL('Master Table'!O27)</f>
        <v>INSERT INTO Contact (Name, Email, Phone) SELECT 'Andy Smith','Andy.Smith@bentley.com','7046630319' WHERE NOT EXISTS (SELECT Name FROM Contact WHERE Name = 'Andy Smith');</v>
      </c>
      <c r="P27" t="str">
        <f>contactsSQL('Master Table'!P27)</f>
        <v>INSERT INTO Contact (Name, Email, Phone) SELECT 'Paul Demetriou','Paul.Demetriou@bentley.com','12088879204' WHERE NOT EXISTS (SELECT Name FROM Contact WHERE Name = 'Paul Demetriou');</v>
      </c>
      <c r="Q27" t="str">
        <f>contactsSQL('Master Table'!Q27)</f>
        <v>INSERT INTO Contact (Name, Email, Phone) SELECT 'Ian Rosam','Ian.Rosam@bentley.com','442078610313' WHERE NOT EXISTS (SELECT Name FROM Contact WHERE Name = 'Ian Rosam');</v>
      </c>
      <c r="R27" t="str">
        <f>contactsSQL('Master Table'!R27)</f>
        <v>INSERT INTO Contact (Name, Email, Phone) SELECT 'Ian Rosam','Ian.Rosam@bentley.com','442078610313' WHERE NOT EXISTS (SELECT Name FROM Contact WHERE Name = 'Ian Rosam');</v>
      </c>
      <c r="S27" t="str">
        <f>contactsSQL('Master Table'!S27)</f>
        <v>INSERT INTO Contact (Name, Email, Phone) SELECT 'Ian Rosam','Ian.Rosam@bentley.com','442078610313' WHERE NOT EXISTS (SELECT Name FROM Contact WHERE Name = 'Ian Rosam');</v>
      </c>
      <c r="T27" t="str">
        <f>contactsSQL('Master Table'!T27)</f>
        <v>INSERT INTO Contact (Name, Email, Phone) SELECT 'Kivanc Karakas','Kivanc.Karakas@bentley.com','442078610339' WHERE NOT EXISTS (SELECT Name FROM Contact WHERE Name = 'Kivanc Karakas');</v>
      </c>
      <c r="U27" t="str">
        <f>contactsSQL('Master Table'!U27)</f>
        <v>INSERT INTO Contact (Name, Email, Phone) SELECT 'Ian Rosam','Ian.Rosam@bentley.com','442078610313' WHERE NOT EXISTS (SELECT Name FROM Contact WHERE Name = 'Ian Rosam');</v>
      </c>
      <c r="V27" t="str">
        <f>contactsSQL('Master Table'!V27)</f>
        <v>INSERT INTO Contact (Name, Email, Phone) SELECT 'Francois Valois','Francois.Valois@bentley.com','15817817522' WHERE NOT EXISTS (SELECT Name FROM Contact WHERE Name = 'Francois Valois');</v>
      </c>
      <c r="W27" t="str">
        <f>contactsSQL('Master Table'!W27)</f>
        <v>INSERT INTO Contact (Name, Email, Phone) SELECT 'Nicolas Loubier','Nicolas.Loubier@bentley.com','15817817567' WHERE NOT EXISTS (SELECT Name FROM Contact WHERE Name = 'Nicolas Loubier');</v>
      </c>
      <c r="X27" t="str">
        <f>contactsSQL('Master Table'!X27)</f>
        <v>INSERT INTO Contact (Name, Email, Phone) SELECT 'Adnan Ulhaq','Adnan.Ulhaq@bentley.com','92512078422' WHERE NOT EXISTS (SELECT Name FROM Contact WHERE Name = 'Adnan Ulhaq');</v>
      </c>
      <c r="Y27" t="str">
        <f>contactsSQL('Master Table'!Y27)</f>
        <v>INSERT INTO Contact (Name, Email, Phone) SELECT 'Tim Lawrence','Tim.Lawrence@bentley.com','15873158588' WHERE NOT EXISTS (SELECT Name FROM Contact WHERE Name = 'Tim Lawrence');</v>
      </c>
      <c r="Z27" t="str">
        <f>contactsSQL('Master Table'!Z27)</f>
        <v>INSERT INTO Contact (Name, Email, Phone) SELECT 'Abbas Ali','','16104583160' WHERE NOT EXISTS (SELECT Name FROM Contact WHERE Name = 'Abbas Ali');</v>
      </c>
      <c r="AA27" t="str">
        <f>contactsSQL('Master Table'!AA27)</f>
        <v>INSERT INTO Contact (Name, Email, Phone) SELECT 'Rob Harper','Rob.Harper@bentley.com','17137303385' WHERE NOT EXISTS (SELECT Name FROM Contact WHERE Name = 'Rob Harper');</v>
      </c>
      <c r="AB27" t="str">
        <f>contactsSQL('Master Table'!AB27)</f>
        <v>INSERT INTO Contact (Name, Email, Phone) SELECT 'Alain Beland','Alain.Beland@bentley.com','14188802022' WHERE NOT EXISTS (SELECT Name FROM Contact WHERE Name = 'Alain Beland');</v>
      </c>
      <c r="AC27" t="str">
        <f>contactsSQL('Master Table'!AC27)</f>
        <v>INSERT INTO Contact (Name, Email, Phone) SELECT 'Tim Lawrence','Tim.Lawrence@bentley.com','15873158588' WHERE NOT EXISTS (SELECT Name FROM Contact WHERE Name = 'Tim Lawrence');</v>
      </c>
      <c r="AD27" t="str">
        <f>contactsSQL('Master Table'!AD27)</f>
        <v>INSERT INTO Contact (Name, Email, Phone) SELECT 'Benoit Frederique','Benoit.Fredericque@bentley.com','' WHERE NOT EXISTS (SELECT Name FROM Contact WHERE Name = 'Benoit Frederique');</v>
      </c>
      <c r="AE27" t="str">
        <f>contactsSQL('Master Table'!AE27)</f>
        <v>INSERT INTO Contact (Name, Email, Phone) SELECT 'Benoit Frederique','Benoit.Fredericque@bentley.com','' WHERE NOT EXISTS (SELECT Name FROM Contact WHERE Name = 'Benoit Frederique');</v>
      </c>
      <c r="AF27" t="str">
        <f>contactsSQL('Master Table'!AF27)</f>
        <v>INSERT INTO Contact (Name, Email, Phone) SELECT 'Benoit Frederique','Benoit.Fredericque@bentley.com','' WHERE NOT EXISTS (SELECT Name FROM Contact WHERE Name = 'Benoit Frederique');</v>
      </c>
      <c r="AG27" t="str">
        <f>contactsSQL('Master Table'!AG27)</f>
        <v>INSERT INTO Contact (Name, Email, Phone) SELECT 'Benoit Frederique','Benoit.Fredericque@bentley.com','' WHERE NOT EXISTS (SELECT Name FROM Contact WHERE Name = 'Benoit Frederique');</v>
      </c>
      <c r="AH27" t="str">
        <f>contactsSQL('Master Table'!AH27)</f>
        <v>INSERT INTO Contact (Name, Email, Phone) SELECT 'Jim Barr','Jim.Barr@bentley.com','12567241520' WHERE NOT EXISTS (SELECT Name FROM Contact WHERE Name = 'Jim Barr');</v>
      </c>
      <c r="AI27" t="str">
        <f>contactsSQL('Master Table'!AI27)</f>
        <v>INSERT INTO Contact (Name, Email, Phone) SELECT 'Slavica Bozic','Slavica.Bozic@bentley.com','16302338281' WHERE NOT EXISTS (SELECT Name FROM Contact WHERE Name = 'Slavica Bozic');</v>
      </c>
      <c r="AJ27" t="str">
        <f>contactsSQL('Master Table'!AJ27)</f>
        <v>INSERT INTO Contact (Name, Email, Phone) SELECT 'Jim Newman','Jim.Newman@bentley.com','17044332566' WHERE NOT EXISTS (SELECT Name FROM Contact WHERE Name = 'Jim Newman');</v>
      </c>
      <c r="AK27" t="str">
        <f>contactsSQL('Master Table'!AK27)</f>
        <v>INSERT INTO Contact (Name, Email, Phone) SELECT 'Aaron Beazley','Aaron.Beazley@bentley.com','12898162642' WHERE NOT EXISTS (SELECT Name FROM Contact WHERE Name = 'Aaron Beazley');</v>
      </c>
      <c r="AL27" t="str">
        <f>contactsSQL('Master Table'!AL27)</f>
        <v>INSERT INTO Contact (Name, Email, Phone) SELECT 'Gijsbert Noordam','Gijsbert.Noordam@bentley.com','31235560626' WHERE NOT EXISTS (SELECT Name FROM Contact WHERE Name = 'Gijsbert Noordam');</v>
      </c>
      <c r="AM27" t="str">
        <f>contactsSQL('Master Table'!AM27)</f>
        <v>INSERT INTO Contact (Name, Email, Phone) SELECT 'Gregg Herrin','Gregg.Herrin@bentley.com','16104583188' WHERE NOT EXISTS (SELECT Name FROM Contact WHERE Name = 'Gregg Herrin');</v>
      </c>
      <c r="AN27" t="str">
        <f>contactsSQL('Master Table'!AN27)</f>
        <v>INSERT INTO Contact (Name, Email, Phone) SELECT 'Gijsbert Noordam','Gijsbert.Noordam@bentley.com','31235560626' WHERE NOT EXISTS (SELECT Name FROM Contact WHERE Name = 'Gijsbert Noordam');</v>
      </c>
      <c r="AO27" t="str">
        <f>contactsSQL('Master Table'!AO27)</f>
        <v>INSERT INTO Contact (Name, Email, Phone) SELECT 'Russell Page','Russell.Page@bentley.com','13032210689' WHERE NOT EXISTS (SELECT Name FROM Contact WHERE Name = 'Russell Page');</v>
      </c>
      <c r="AP27" t="str">
        <f>contactsSQL('Master Table'!AP27)</f>
        <v>INSERT INTO Contact (Name, Email, Phone) SELECT 'Mal Sharkey','Mal.Sharkey@bentley.com','61396978623' WHERE NOT EXISTS (SELECT Name FROM Contact WHERE Name = 'Mal Sharkey');</v>
      </c>
      <c r="AQ27" t="str">
        <f>contactsSQL('Master Table'!AQ27)</f>
        <v>INSERT INTO Contact (Name, Email, Phone) SELECT 'Aaron Beazily','Aaron.Beazley@bentley.com','12898162642' WHERE NOT EXISTS (SELECT Name FROM Contact WHERE Name = 'Aaron Beazily');</v>
      </c>
      <c r="AR27" t="str">
        <f>contactsSQL('Master Table'!AR27)</f>
        <v>INSERT INTO Contact (Name, Email, Phone) SELECT 'Jim Scott','Jim.Scott@bentley.com','13039670864' WHERE NOT EXISTS (SELECT Name FROM Contact WHERE Name = 'Jim Scott');</v>
      </c>
      <c r="AS27" t="str">
        <f>contactsSQL('Master Table'!AS27)</f>
        <v>INSERT INTO Contact (Name, Email, Phone) SELECT 'Duncan Rodger','Duncan.Rodger@bentley.com','441349865554' WHERE NOT EXISTS (SELECT Name FROM Contact WHERE Name = 'Duncan Rodger');</v>
      </c>
      <c r="AT27" t="str">
        <f>contactsSQL('Master Table'!AT27)</f>
        <v>INSERT INTO Contact (Name, Email, Phone) SELECT 'Taylor Gilmore','Taylor.Gilmore@bentley.com','14126811521' WHERE NOT EXISTS (SELECT Name FROM Contact WHERE Name = 'Taylor Gilmore');</v>
      </c>
      <c r="AU27" t="str">
        <f>contactsSQL('Master Table'!AU27)</f>
        <v>INSERT INTO Contact (Name, Email, Phone) SELECT 'Paolomee Udani','Paolomee.Udani@bentley.com','19252745107' WHERE NOT EXISTS (SELECT Name FROM Contact WHERE Name = 'Paolomee Udani');</v>
      </c>
      <c r="AV27" t="str">
        <f>contactsSQL('Master Table'!AV27)</f>
        <v>INSERT INTO Contact (Name, Email, Phone) SELECT 'Bill McNamara','Bill.McNamara@bentley.com','16104587602' WHERE NOT EXISTS (SELECT Name FROM Contact WHERE Name = 'Bill McNamara');</v>
      </c>
      <c r="AW27" t="str">
        <f>contactsSQL('Master Table'!AW27)</f>
        <v>INSERT INTO Contact (Name, Email, Phone) SELECT 'Bill McNamara','Bill.McNamara@bentley.com','16104587602' WHERE NOT EXISTS (SELECT Name FROM Contact WHERE Name = 'Bill McNamara');</v>
      </c>
      <c r="AX27" t="str">
        <f>contactsSQL('Master Table'!AX27)</f>
        <v>INSERT INTO Contact (Name, Email, Phone) SELECT 'Bill McNamara','Bill.McNamara@bentley.com','16104587602' WHERE NOT EXISTS (SELECT Name FROM Contact WHERE Name = 'Bill McNamara');</v>
      </c>
      <c r="AY27" t="str">
        <f>contactsSQL('Master Table'!AY27)</f>
        <v>INSERT INTO Contact (Name, Email, Phone) SELECT 'Bill McNamara','Bill.McNamara@bentley.com','16104587602' WHERE NOT EXISTS (SELECT Name FROM Contact WHERE Name = 'Bill McNamara');</v>
      </c>
      <c r="AZ27" t="str">
        <f>contactsSQL('Master Table'!AZ27)</f>
        <v>INSERT INTO Contact (Name, Email, Phone) SELECT 'Bill McNamara','Bill.McNamara@bentley.com','16104587602' WHERE NOT EXISTS (SELECT Name FROM Contact WHERE Name = 'Bill McNamara');</v>
      </c>
      <c r="BA27" t="str">
        <f>contactsSQL('Master Table'!BA27)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27" t="str">
        <f>contactsSQL('Master Table'!BB27)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27" t="str">
        <f>contactsSQL('Master Table'!BC27)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27" t="str">
        <f>contactsSQL('Master Table'!BD27)</f>
        <v>INSERT INTO Contact (Name, Email, Phone) SELECT 'Joe Granville','Joe.Granville@bentley.com','16104582951' WHERE NOT EXISTS (SELECT Name FROM Contact WHERE Name = 'Joe Granville');</v>
      </c>
      <c r="BE27" t="str">
        <f>contactsSQL('Master Table'!BE27)</f>
        <v>INSERT INTO Contact (Name, Email, Phone) SELECT 'Beth Buerger','Beth.Buerger@bentley.com','17205283380' WHERE NOT EXISTS (SELECT Name FROM Contact WHERE Name = 'Beth Buerger');</v>
      </c>
      <c r="BF27" t="str">
        <f>contactsSQL('Master Table'!BF27)</f>
        <v>INSERT INTO Contact (Name, Email, Phone) SELECT 'Sam Stuart','Sam.Stuart@bentley.com','' WHERE NOT EXISTS (SELECT Name FROM Contact WHERE Name = 'Sam Stuart');</v>
      </c>
      <c r="BG27" t="str">
        <f>contactsSQL('Master Table'!BG27)</f>
        <v>INSERT INTO Contact (Name, Email, Phone) SELECT 'Rimantas Varanavicius','imantas.Varanavicius@bentley.com','37052398145' WHERE NOT EXISTS (SELECT Name FROM Contact WHERE Name = 'Rimantas Varanavicius');</v>
      </c>
      <c r="BH27" t="str">
        <f>contactsSQL('Master Table'!BH27)</f>
        <v>INSERT INTO Contact (Name, Email, Phone) SELECT 'Jo Wright','Jo.Wright@bentley.com','12569701111' WHERE NOT EXISTS (SELECT Name FROM Contact WHERE Name = 'Jo Wright');</v>
      </c>
      <c r="BI27" t="str">
        <f>contactsSQL('Master Table'!BI27)</f>
        <v>INSERT INTO Contact (Name, Email, Phone) SELECT 'Jo Wright','Jo.Wright@bentley.com','12569701111' WHERE NOT EXISTS (SELECT Name FROM Contact WHERE Name = 'Jo Wright');</v>
      </c>
      <c r="BJ27" t="str">
        <f>contactsSQL('Master Table'!BJ27)</f>
        <v>INSERT INTO Contact (Name, Email, Phone) SELECT 'Jo Wright','Jo.Wright@bentley.com','12569701111' WHERE NOT EXISTS (SELECT Name FROM Contact WHERE Name = 'Jo Wright');</v>
      </c>
      <c r="BK27" t="str">
        <f>contactsSQL('Master Table'!BK27)</f>
        <v>INSERT INTO Contact (Name, Email, Phone) SELECT 'Jo Wright','Jo.Wright@bentley.com','12569701111' WHERE NOT EXISTS (SELECT Name FROM Contact WHERE Name = 'Jo Wright');</v>
      </c>
      <c r="BL27" t="str">
        <f>contactsSQL('Master Table'!BL27)</f>
        <v>INSERT INTO Contact (Name, Email, Phone) SELECT 'Jo Wright','Jo.Wright@bentley.com','12569701111' WHERE NOT EXISTS (SELECT Name FROM Contact WHERE Name = 'Jo Wright');</v>
      </c>
    </row>
    <row r="28" spans="3:64" x14ac:dyDescent="0.25">
      <c r="C28" t="str">
        <f>contactsSQL('Master Table'!C28)</f>
        <v/>
      </c>
      <c r="D28" t="str">
        <f>contactsSQL('Master Table'!D28)</f>
        <v/>
      </c>
      <c r="E28" t="str">
        <f>contactsSQL('Master Table'!E28)</f>
        <v/>
      </c>
      <c r="F28" t="str">
        <f>contactsSQL('Master Table'!F28)</f>
        <v>INSERT INTO Contact (Name, Email, Phone) SELECT 'Rupesh Kumar','Rupesh.Kumar@bentley.com','160379403439' WHERE NOT EXISTS (SELECT Name FROM Contact WHERE Name = 'Rupesh Kumar');</v>
      </c>
      <c r="G28" t="str">
        <f>contactsSQL('Master Table'!G28)</f>
        <v>INSERT INTO Contact (Name, Email, Phone) SELECT 'Ian Sevilla','Ian.Sevilla@bentley.com','61894311511' WHERE NOT EXISTS (SELECT Name FROM Contact WHERE Name = 'Ian Sevilla');</v>
      </c>
      <c r="H28" t="str">
        <f>contactsSQL('Master Table'!H28)</f>
        <v>INSERT INTO Contact (Name, Email, Phone) SELECT 'Rupesh Kumar','Rupesh.Kumar@bentley.com','160379403439' WHERE NOT EXISTS (SELECT Name FROM Contact WHERE Name = 'Rupesh Kumar');</v>
      </c>
      <c r="I28" t="str">
        <f>contactsSQL('Master Table'!I28)</f>
        <v>INSERT INTO Contact (Name, Email, Phone) SELECT 'Ignacio Almagro','Ignacio.Almagro@bentley.com','19543439336' WHERE NOT EXISTS (SELECT Name FROM Contact WHERE Name = 'Ignacio Almagro');</v>
      </c>
      <c r="J28" t="str">
        <f>contactsSQL('Master Table'!J28)</f>
        <v>INSERT INTO Contact (Name, Email, Phone) SELECT 'Ignacio Almagro','Ignacio.Almagro@bentley.com','19543439336' WHERE NOT EXISTS (SELECT Name FROM Contact WHERE Name = 'Ignacio Almagro');</v>
      </c>
      <c r="K28" t="str">
        <f>contactsSQL('Master Table'!K28)</f>
        <v>INSERT INTO Contact (Name, Email, Phone) SELECT 'Ignacio Almagro','Ignacio.Almagro@bentley.com','19543439336' WHERE NOT EXISTS (SELECT Name FROM Contact WHERE Name = 'Ignacio Almagro');</v>
      </c>
      <c r="L28" t="str">
        <f>contactsSQL('Master Table'!L28)</f>
        <v>INSERT INTO Contact (Name, Email, Phone) SELECT 'Ignacio Almagro','Ignacio.Almagro@bentley.com','19543439336' WHERE NOT EXISTS (SELECT Name FROM Contact WHERE Name = 'Ignacio Almagro');</v>
      </c>
      <c r="M28" t="str">
        <f>contactsSQL('Master Table'!M28)</f>
        <v>INSERT INTO Contact (Name, Email, Phone) SELECT 'Chris Croucher','Chris.Croucher@bentley.com','16103214606' WHERE NOT EXISTS (SELECT Name FROM Contact WHERE Name = 'Chris Croucher');</v>
      </c>
      <c r="N28" t="str">
        <f>contactsSQL('Master Table'!N28)</f>
        <v>INSERT INTO Contact (Name, Email, Phone) SELECT 'Stuart Milne','Stuart.Milne@bentley.com','' WHERE NOT EXISTS (SELECT Name FROM Contact WHERE Name = 'Stuart Milne');</v>
      </c>
      <c r="O28" t="str">
        <f>contactsSQL('Master Table'!O28)</f>
        <v>INSERT INTO Contact (Name, Email, Phone) SELECT 'Steve Brown','Steve.Brown@bentley.com','44' WHERE NOT EXISTS (SELECT Name FROM Contact WHERE Name = 'Steve Brown');</v>
      </c>
      <c r="P28" t="str">
        <f>contactsSQL('Master Table'!P28)</f>
        <v>INSERT INTO Contact (Name, Email, Phone) SELECT 'Steve Brown','Steve.Brown@bentley.com','44' WHERE NOT EXISTS (SELECT Name FROM Contact WHERE Name = 'Steve Brown');</v>
      </c>
      <c r="Q28" t="str">
        <f>contactsSQL('Master Table'!Q28)</f>
        <v>INSERT INTO Contact (Name, Email, Phone) SELECT 'JaYoung You','JaYoung.You@bentley.com','82234685754' WHERE NOT EXISTS (SELECT Name FROM Contact WHERE Name = 'JaYoung You');</v>
      </c>
      <c r="R28" t="str">
        <f>contactsSQL('Master Table'!R28)</f>
        <v>INSERT INTO Contact (Name, Email, Phone) SELECT 'JaYoung You','JaYoung.You@bentley.com','82234685754' WHERE NOT EXISTS (SELECT Name FROM Contact WHERE Name = 'JaYoung You');</v>
      </c>
      <c r="S28" t="str">
        <f>contactsSQL('Master Table'!S28)</f>
        <v>INSERT INTO Contact (Name, Email, Phone) SELECT 'JaYoung You','JaYoung.You@bentley.com','82234685754' WHERE NOT EXISTS (SELECT Name FROM Contact WHERE Name = 'JaYoung You');</v>
      </c>
      <c r="T28" t="str">
        <f>contactsSQL('Master Table'!T28)</f>
        <v>INSERT INTO Contact (Name, Email, Phone) SELECT 'JaYoung You','JaYoung.You@bentley.com','82234685754' WHERE NOT EXISTS (SELECT Name FROM Contact WHERE Name = 'JaYoung You');</v>
      </c>
      <c r="U28" t="str">
        <f>contactsSQL('Master Table'!U28)</f>
        <v/>
      </c>
      <c r="V28" t="str">
        <f>contactsSQL('Master Table'!V28)</f>
        <v>INSERT INTO Contact (Name, Email, Phone) SELECT 'Kevin McDonald','Kevin.McDonald@bentley.com','12569701123' WHERE NOT EXISTS (SELECT Name FROM Contact WHERE Name = 'Kevin McDonald');</v>
      </c>
      <c r="W28" t="str">
        <f>contactsSQL('Master Table'!W28)</f>
        <v>INSERT INTO Contact (Name, Email, Phone) SELECT 'JaYoung You','JaYoung.You@bentley.com','82234685754' WHERE NOT EXISTS (SELECT Name FROM Contact WHERE Name = 'JaYoung You');</v>
      </c>
      <c r="X28" t="str">
        <f>contactsSQL('Master Table'!X28)</f>
        <v/>
      </c>
      <c r="Y28" t="str">
        <f>contactsSQL('Master Table'!Y28)</f>
        <v>INSERT INTO Contact (Name, Email, Phone) SELECT 'Tim Lawrence','Tim.Lawrence@bentley.com','15873158588' WHERE NOT EXISTS (SELECT Name FROM Contact WHERE Name = 'Tim Lawrence');</v>
      </c>
      <c r="Z28" t="str">
        <f>contactsSQL('Master Table'!Z28)</f>
        <v/>
      </c>
      <c r="AA28" t="str">
        <f>contactsSQL('Master Table'!AA28)</f>
        <v/>
      </c>
      <c r="AB28" t="str">
        <f>contactsSQL('Master Table'!AB28)</f>
        <v>INSERT INTO Contact (Name, Email, Phone) SELECT 'Alain Beland','Alain.Beland@bentley.com','14188802022' WHERE NOT EXISTS (SELECT Name FROM Contact WHERE Name = 'Alain Beland');</v>
      </c>
      <c r="AC28" t="str">
        <f>contactsSQL('Master Table'!AC28)</f>
        <v>INSERT INTO Contact (Name, Email, Phone) SELECT 'Peter Alspaugh','Peter.Alspaugh@bentley.com','18322172816' WHERE NOT EXISTS (SELECT Name FROM Contact WHERE Name = 'Peter Alspaugh');</v>
      </c>
      <c r="AD28" t="str">
        <f>contactsSQL('Master Table'!AD28)</f>
        <v>INSERT INTO Contact (Name, Email, Phone) SELECT 'Felix Zhou','Felix.Zhou@bentley.com','862122873806' WHERE NOT EXISTS (SELECT Name FROM Contact WHERE Name = 'Felix Zhou');</v>
      </c>
      <c r="AE28" t="str">
        <f>contactsSQL('Master Table'!AE28)</f>
        <v>INSERT INTO Contact (Name, Email, Phone) SELECT 'Felix Zhou','Felix.Zhou@bentley.com','862122873806' WHERE NOT EXISTS (SELECT Name FROM Contact WHERE Name = 'Felix Zhou');</v>
      </c>
      <c r="AF28" t="str">
        <f>contactsSQL('Master Table'!AF28)</f>
        <v>INSERT INTO Contact (Name, Email, Phone) SELECT 'Felix Zhou','Felix.Zhou@bentley.com','862122873806' WHERE NOT EXISTS (SELECT Name FROM Contact WHERE Name = 'Felix Zhou');</v>
      </c>
      <c r="AG28" t="str">
        <f>contactsSQL('Master Table'!AG28)</f>
        <v>INSERT INTO Contact (Name, Email, Phone) SELECT 'Felix Zhou','Felix.Zhou@bentley.com','862122873806' WHERE NOT EXISTS (SELECT Name FROM Contact WHERE Name = 'Felix Zhou');</v>
      </c>
      <c r="AH28" t="str">
        <f>contactsSQL('Master Table'!AH28)</f>
        <v>INSERT INTO Contact (Name, Email, Phone) SELECT 'Adam Smith','Adam.Smith@bentley.com','' WHERE NOT EXISTS (SELECT Name FROM Contact WHERE Name = 'Adam Smith');</v>
      </c>
      <c r="AI28" t="str">
        <f>contactsSQL('Master Table'!AI28)</f>
        <v/>
      </c>
      <c r="AJ28" t="str">
        <f>contactsSQL('Master Table'!AJ28)</f>
        <v>INSERT INTO Contact (Name, Email, Phone) SELECT 'Engteck Soon','Engteck.Soon@bentley.com','61396978647' WHERE NOT EXISTS (SELECT Name FROM Contact WHERE Name = 'Engteck Soon');</v>
      </c>
      <c r="AK28" t="str">
        <f>contactsSQL('Master Table'!AK28)</f>
        <v>INSERT INTO Contact (Name, Email, Phone) SELECT 'Engteck Soon','Engteck.Soon@bentley.com','61396978647' WHERE NOT EXISTS (SELECT Name FROM Contact WHERE Name = 'Engteck Soon');</v>
      </c>
      <c r="AL28" t="str">
        <f>contactsSQL('Master Table'!AL28)</f>
        <v>INSERT INTO Contact (Name, Email, Phone) SELECT 'Linda Oliveira','Linda.Oliveira@bentley.com','16104586084' WHERE NOT EXISTS (SELECT Name FROM Contact WHERE Name = 'Linda Oliveira');</v>
      </c>
      <c r="AM28" t="str">
        <f>contactsSQL('Master Table'!AM28)</f>
        <v>INSERT INTO Contact (Name, Email, Phone) SELECT 'Linda Oliveira','Linda.Oliveira@bentley.com','16104586084' WHERE NOT EXISTS (SELECT Name FROM Contact WHERE Name = 'Linda Oliveira');</v>
      </c>
      <c r="AN28" t="str">
        <f>contactsSQL('Master Table'!AN28)</f>
        <v>INSERT INTO Contact (Name, Email, Phone) SELECT 'Lon Opp','Lon.Opp@bentley.com','12569701127' WHERE NOT EXISTS (SELECT Name FROM Contact WHERE Name = 'Lon Opp');</v>
      </c>
      <c r="AO28" t="str">
        <f>contactsSQL('Master Table'!AO28)</f>
        <v>INSERT INTO Contact (Name, Email, Phone) SELECT 'Clive Hackforth','Clive.Hackforth@bentley.com','442078610933' WHERE NOT EXISTS (SELECT Name FROM Contact WHERE Name = 'Clive Hackforth');</v>
      </c>
      <c r="AP28" t="str">
        <f>contactsSQL('Master Table'!AP28)</f>
        <v>INSERT INTO Contact (Name, Email, Phone) SELECT 'MSV Rao','MSV.Rao@bentley.com','919820223761' WHERE NOT EXISTS (SELECT Name FROM Contact WHERE Name = 'MSV Rao');</v>
      </c>
      <c r="AQ28" t="str">
        <f>contactsSQL('Master Table'!AQ28)</f>
        <v>INSERT INTO Contact (Name, Email, Phone) SELECT 'Joanna Slowinska','Joanna.Slowinska@bentley.com','442078610317' WHERE NOT EXISTS (SELECT Name FROM Contact WHERE Name = 'Joanna Slowinska');</v>
      </c>
      <c r="AR28" t="str">
        <f>contactsSQL('Master Table'!AR28)</f>
        <v>INSERT INTO Contact (Name, Email, Phone) SELECT 'Richard Ellis','Richard.Ellis@bentley.com','6421611832' WHERE NOT EXISTS (SELECT Name FROM Contact WHERE Name = 'Richard Ellis');</v>
      </c>
      <c r="AS28" t="str">
        <f>contactsSQL('Master Table'!AS28)</f>
        <v>INSERT INTO Contact (Name, Email, Phone) SELECT 'Neil Pickin','Neil.Pickin@bentley.com','441619731462' WHERE NOT EXISTS (SELECT Name FROM Contact WHERE Name = 'Neil Pickin');</v>
      </c>
      <c r="AT28" t="str">
        <f>contactsSQL('Master Table'!AT28)</f>
        <v>INSERT INTO Contact (Name, Email, Phone) SELECT 'Mark Mazzeo','Mark.Mazzeo@bentley.com','14122303034' WHERE NOT EXISTS (SELECT Name FROM Contact WHERE Name = 'Mark Mazzeo');</v>
      </c>
      <c r="AU28" t="str">
        <f>contactsSQL('Master Table'!AU28)</f>
        <v>INSERT INTO Contact (Name, Email, Phone) SELECT 'Paul Johnson','Paul.Johnson@bentley.com','16104583191' WHERE NOT EXISTS (SELECT Name FROM Contact WHERE Name = 'Paul Johnson');</v>
      </c>
      <c r="AV28" t="str">
        <f>contactsSQL('Master Table'!AV28)</f>
        <v>INSERT INTO Contact (Name, Email, Phone) SELECT 'Amol Sonawane','Amol.Sonawane@bentley.com','912066021201' WHERE NOT EXISTS (SELECT Name FROM Contact WHERE Name = 'Amol Sonawane');</v>
      </c>
      <c r="AW28" t="str">
        <f>contactsSQL('Master Table'!AW28)</f>
        <v>INSERT INTO Contact (Name, Email, Phone) SELECT 'Ranveer Basra','Ranveer.Basra@bentley.com','16104582950' WHERE NOT EXISTS (SELECT Name FROM Contact WHERE Name = 'Ranveer Basra');</v>
      </c>
      <c r="AX28" t="str">
        <f>contactsSQL('Master Table'!AX28)</f>
        <v>INSERT INTO Contact (Name, Email, Phone) SELECT 'Amol Sonawane','Amol.Sonawane@bentley.com','912066021201' WHERE NOT EXISTS (SELECT Name FROM Contact WHERE Name = 'Amol Sonawane');</v>
      </c>
      <c r="AY28" t="str">
        <f>contactsSQL('Master Table'!AY28)</f>
        <v>INSERT INTO Contact (Name, Email, Phone) SELECT 'Amol Sonawane','Amol.Sonawane@bentley.com','912066021201' WHERE NOT EXISTS (SELECT Name FROM Contact WHERE Name = 'Amol Sonawane');</v>
      </c>
      <c r="AZ28" t="str">
        <f>contactsSQL('Master Table'!AZ28)</f>
        <v>INSERT INTO Contact (Name, Email, Phone) SELECT 'Amol Sonawane','Amol.Sonawane@bentley.com','912066021201' WHERE NOT EXISTS (SELECT Name FROM Contact WHERE Name = 'Amol Sonawane');</v>
      </c>
      <c r="BA28" t="str">
        <f>contactsSQL('Master Table'!BA28)</f>
        <v>INSERT INTO Contact (Name, Email, Phone) SELECT 'Amol Sonawane','Amol.Sonawane@bentley.com','912066021201' WHERE NOT EXISTS (SELECT Name FROM Contact WHERE Name = 'Amol Sonawane');</v>
      </c>
      <c r="BB28" t="str">
        <f>contactsSQL('Master Table'!BB28)</f>
        <v>INSERT INTO Contact (Name, Email, Phone) SELECT 'Amol Sonawane','Amol.Sonawane@bentley.com','912066021201' WHERE NOT EXISTS (SELECT Name FROM Contact WHERE Name = 'Amol Sonawane');</v>
      </c>
      <c r="BC28" t="str">
        <f>contactsSQL('Master Table'!BC28)</f>
        <v>INSERT INTO Contact (Name, Email, Phone) SELECT 'Amol Sonawane','Amol.Sonawane@bentley.com','912066021201' WHERE NOT EXISTS (SELECT Name FROM Contact WHERE Name = 'Amol Sonawane');</v>
      </c>
      <c r="BD28" t="str">
        <f>contactsSQL('Master Table'!BD28)</f>
        <v>INSERT INTO Contact (Name, Email, Phone) SELECT 'Paul Johnson','Paul.Johnson@bentley.com','16104583191' WHERE NOT EXISTS (SELECT Name FROM Contact WHERE Name = 'Paul Johnson');</v>
      </c>
      <c r="BE28" t="str">
        <f>contactsSQL('Master Table'!BE28)</f>
        <v>INSERT INTO Contact (Name, Email, Phone) SELECT 'Paul Johnson','Paul.Johnson@bentley.com','16104583191' WHERE NOT EXISTS (SELECT Name FROM Contact WHERE Name = 'Paul Johnson');</v>
      </c>
      <c r="BF28" t="str">
        <f>contactsSQL('Master Table'!BF28)</f>
        <v>INSERT INTO Contact (Name, Email, Phone) SELECT 'Matt Starke','Matt.Starke@bentley.com','15102502118' WHERE NOT EXISTS (SELECT Name FROM Contact WHERE Name = 'Matt Starke');</v>
      </c>
      <c r="BG28" t="str">
        <f>contactsSQL('Master Table'!BG28)</f>
        <v>INSERT INTO Contact (Name, Email, Phone) SELECT 'Molly Watts','Molly.Watts@bentley.com','16104583183' WHERE NOT EXISTS (SELECT Name FROM Contact WHERE Name = 'Molly Watts');</v>
      </c>
      <c r="BH28" t="str">
        <f>contactsSQL('Master Table'!BH28)</f>
        <v>INSERT INTO Contact (Name, Email, Phone) SELECT 'Amol Sonawane','Amol.Sonawane@bentley.com','912066021201' WHERE NOT EXISTS (SELECT Name FROM Contact WHERE Name = 'Amol Sonawane');</v>
      </c>
      <c r="BI28" t="str">
        <f>contactsSQL('Master Table'!BI28)</f>
        <v>INSERT INTO Contact (Name, Email, Phone) SELECT 'Amol Sonawane','Amol.Sonawane@bentley.com','912066021201' WHERE NOT EXISTS (SELECT Name FROM Contact WHERE Name = 'Amol Sonawane');</v>
      </c>
      <c r="BJ28" t="str">
        <f>contactsSQL('Master Table'!BJ28)</f>
        <v>INSERT INTO Contact (Name, Email, Phone) SELECT 'Amol Sonawane','Amol.Sonawane@bentley.com','912066021201' WHERE NOT EXISTS (SELECT Name FROM Contact WHERE Name = 'Amol Sonawane');</v>
      </c>
      <c r="BK28" t="str">
        <f>contactsSQL('Master Table'!BK28)</f>
        <v>INSERT INTO Contact (Name, Email, Phone) SELECT 'Amol Sonawane','Amol.Sonawane@bentley.com','912066021201' WHERE NOT EXISTS (SELECT Name FROM Contact WHERE Name = 'Amol Sonawane');</v>
      </c>
      <c r="BL28" t="str">
        <f>contactsSQL('Master Table'!BL28)</f>
        <v>INSERT INTO Contact (Name, Email, Phone) SELECT 'Amol Sonawane','Amol.Sonawane@bentley.com','912066021201' WHERE NOT EXISTS (SELECT Name FROM Contact WHERE Name = 'Amol Sonawane');</v>
      </c>
    </row>
    <row r="29" spans="3:64" x14ac:dyDescent="0.25">
      <c r="C29" t="str">
        <f>contactsSQL('Master Table'!C29)</f>
        <v>INSERT INTO Contact (Name, Email, Phone) SELECT 'Jenn Metzler','Jennifer.Metzler@bentley.com','16104589574' WHERE NOT EXISTS (SELECT Name FROM Contact WHERE Name = 'Jenn Metzler');</v>
      </c>
      <c r="D29" t="str">
        <f>contactsSQL('Master Table'!D29)</f>
        <v>INSERT INTO Contact (Name, Email, Phone) SELECT 'Jenn Metzler','Jennifer.Metzler@bentley.com','16104589574' WHERE NOT EXISTS (SELECT Name FROM Contact WHERE Name = 'Jenn Metzler');</v>
      </c>
      <c r="E29" t="str">
        <f>contactsSQL('Master Table'!E29)</f>
        <v>INSERT INTO Contact (Name, Email, Phone) SELECT 'Fabian Folgar','Fabian.Folgar@bentley.com','16104582928' WHERE NOT EXISTS (SELECT Name FROM Contact WHERE Name = 'Fabian Folgar');</v>
      </c>
      <c r="F29" t="str">
        <f>contactsSQL('Master Table'!F29)</f>
        <v>INSERT INTO Contact (Name, Email, Phone) SELECT 'Jenn Metzler','Jennifer.Metzler@bentley.com','16104589574' WHERE NOT EXISTS (SELECT Name FROM Contact WHERE Name = 'Jenn Metzler');</v>
      </c>
      <c r="G29" t="str">
        <f>contactsSQL('Master Table'!G29)</f>
        <v>INSERT INTO Contact (Name, Email, Phone) SELECT 'Jenn Metzler','Jennifer.Metzler@bentley.com','16104589574' WHERE NOT EXISTS (SELECT Name FROM Contact WHERE Name = 'Jenn Metzler');</v>
      </c>
      <c r="H29" t="str">
        <f>contactsSQL('Master Table'!H29)</f>
        <v>INSERT INTO Contact (Name, Email, Phone) SELECT 'Jenn Metzler','Jennifer.Metzler@bentley.com','16104589574' WHERE NOT EXISTS (SELECT Name FROM Contact WHERE Name = 'Jenn Metzler');</v>
      </c>
      <c r="I29" t="str">
        <f>contactsSQL('Master Table'!I29)</f>
        <v/>
      </c>
      <c r="J29" t="str">
        <f>contactsSQL('Master Table'!J29)</f>
        <v/>
      </c>
      <c r="K29" t="str">
        <f>contactsSQL('Master Table'!K29)</f>
        <v/>
      </c>
      <c r="L29" t="str">
        <f>contactsSQL('Master Table'!L29)</f>
        <v/>
      </c>
      <c r="M29" t="str">
        <f>contactsSQL('Master Table'!M29)</f>
        <v/>
      </c>
      <c r="N29" t="str">
        <f>contactsSQL('Master Table'!N29)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O29" t="str">
        <f>contactsSQL('Master Table'!O29)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P29" t="str">
        <f>contactsSQL('Master Table'!P29)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Q29" t="str">
        <f>contactsSQL('Master Table'!Q29)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R29" t="str">
        <f>contactsSQL('Master Table'!R29)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S29" t="str">
        <f>contactsSQL('Master Table'!S29)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T29" t="str">
        <f>contactsSQL('Master Table'!T29)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U29" t="str">
        <f>contactsSQL('Master Table'!U29)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V29" t="str">
        <f>contactsSQL('Master Table'!V29)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W29" t="str">
        <f>contactsSQL('Master Table'!W29)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X29" t="str">
        <f>contactsSQL('Master Table'!X29)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Y29" t="str">
        <f>contactsSQL('Master Table'!Y29)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Z29" t="str">
        <f>contactsSQL('Master Table'!Z29)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A29" t="str">
        <f>contactsSQL('Master Table'!AA29)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B29" t="str">
        <f>contactsSQL('Master Table'!AB29)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C29" t="str">
        <f>contactsSQL('Master Table'!AC29)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D29" t="str">
        <f>contactsSQL('Master Table'!AD29)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E29" t="str">
        <f>contactsSQL('Master Table'!AE29)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F29" t="str">
        <f>contactsSQL('Master Table'!AF29)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G29" t="str">
        <f>contactsSQL('Master Table'!AG29)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H29" t="str">
        <f>contactsSQL('Master Table'!AH29)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I29" t="str">
        <f>contactsSQL('Master Table'!AI29)</f>
        <v>INSERT INTO Contact (Name, Email, Phone) SELECT 'Diego Gimenes','Diego.Gimenes@bentley.com','551128232652' WHERE NOT EXISTS (SELECT Name FROM Contact WHERE Name = 'Diego Gimenes');INSERT INTO Contact (Name, Email, Phone) SELECT 'Martin Chavez','Martin.Chavez@bentley.com','525554885420' WHERE NOT EXISTS (SELECT Name FROM Contact WHERE Name = 'Martin Chavez');INSERT INTO Contact (Name, Email, Phone) SELECT 'Tiago Sathler','Tiago.Sathler@bentley.com','551128232653' WHERE NOT EXISTS (SELECT Name FROM Contact WHERE Name = 'Tiago Sathler');</v>
      </c>
      <c r="AJ29" t="str">
        <f>contactsSQL('Master Table'!AJ29)</f>
        <v>INSERT INTO Contact (Name, Email, Phone) SELECT 'George Castle','George.Castle@bentley.com','12148507553' WHERE NOT EXISTS (SELECT Name FROM Contact WHERE Name = 'George Castle');</v>
      </c>
      <c r="AK29" t="str">
        <f>contactsSQL('Master Table'!AK29)</f>
        <v>INSERT INTO Contact (Name, Email, Phone) SELECT 'George Castle','George.Castle@bentley.com','12148507553' WHERE NOT EXISTS (SELECT Name FROM Contact WHERE Name = 'George Castle');</v>
      </c>
      <c r="AL29" t="str">
        <f>contactsSQL('Master Table'!AL29)</f>
        <v>INSERT INTO Contact (Name, Email, Phone) SELECT 'Jim Lucas','Jim.Lucas@bentley.com','15128152007' WHERE NOT EXISTS (SELECT Name FROM Contact WHERE Name = 'Jim Lucas');INSERT INTO Contact (Name, Email, Phone) SELECT 'Ton de Vries','Ton.deVries@bentley.com','16104584191' WHERE NOT EXISTS (SELECT Name FROM Contact WHERE Name = 'Ton de Vries');</v>
      </c>
      <c r="AM29" t="e">
        <f>contactsSQL('Master Table'!AM29)</f>
        <v>#VALUE!</v>
      </c>
      <c r="AN29" t="str">
        <f>contactsSQL('Master Table'!AN29)</f>
        <v>INSERT INTO Contact (Name, Email, Phone) SELECT 'Jim Lucas','Jim.Lucas@bentley.com','15128152007' WHERE NOT EXISTS (SELECT Name FROM Contact WHERE Name = 'Jim Lucas');INSERT INTO Contact (Name, Email, Phone) SELECT 'Ton de Vries','Ton.deVries@bentley.com','16104584191' WHERE NOT EXISTS (SELECT Name FROM Contact WHERE Name = 'Ton de Vries');</v>
      </c>
      <c r="AO29" t="str">
        <f>contactsSQL('Master Table'!AO29)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29" t="e">
        <f>contactsSQL('Master Table'!AP29)</f>
        <v>#VALUE!</v>
      </c>
      <c r="AQ29" t="str">
        <f>contactsSQL('Master Table'!AQ29)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29" t="str">
        <f>contactsSQL('Master Table'!AR29)</f>
        <v>INSERT INTO Contact (Name, Email, Phone) SELECT 'Dan Vogen','Dan.Vogen@bentley.com','16309816500' WHERE NOT EXISTS (SELECT Name FROM Contact WHERE Name = 'Dan Vogen');</v>
      </c>
      <c r="AS29" t="str">
        <f>contactsSQL('Master Table'!AS29)</f>
        <v>INSERT INTO Contact (Name, Email, Phone) SELECT 'George Castle','George.Castle@bentley.com','12148507553' WHERE NOT EXISTS (SELECT Name FROM Contact WHERE Name = 'George Castle');</v>
      </c>
      <c r="AT29" t="str">
        <f>contactsSQL('Master Table'!AT29)</f>
        <v>INSERT INTO Contact (Name, Email, Phone) SELECT 'Ben Witter','Ben.Witter@bentley.com','12676642491' WHERE NOT EXISTS (SELECT Name FROM Contact WHERE Name = 'Ben Witter');</v>
      </c>
      <c r="AU29" t="str">
        <f>contactsSQL('Master Table'!AU29)</f>
        <v>INSERT INTO Contact (Name, Email, Phone) SELECT 'Eric Crivella','Eric.Crivella@bentley.com','18322172802' WHERE NOT EXISTS (SELECT Name FROM Contact WHERE Name = 'Eric Crivella');</v>
      </c>
      <c r="AV29" t="str">
        <f>contactsSQL('Master Table'!AV29)</f>
        <v>INSERT INTO Contact (Name, Email, Phone) SELECT 'Tom Atkinson','Tom.Atkinson@bentley.com','15184415194' WHERE NOT EXISTS (SELECT Name FROM Contact WHERE Name = 'Tom Atkinson');</v>
      </c>
      <c r="AW29" t="str">
        <f>contactsSQL('Master Table'!AW29)</f>
        <v>INSERT INTO Contact (Name, Email, Phone) SELECT 'Tom Atkinson','Tom.Atkinson@bentley.com','15184415194' WHERE NOT EXISTS (SELECT Name FROM Contact WHERE Name = 'Tom Atkinson');</v>
      </c>
      <c r="AX29" t="str">
        <f>contactsSQL('Master Table'!AX29)</f>
        <v>INSERT INTO Contact (Name, Email, Phone) SELECT 'Tom Atkinson','Tom.Atkinson@bentley.com','15184415194' WHERE NOT EXISTS (SELECT Name FROM Contact WHERE Name = 'Tom Atkinson');</v>
      </c>
      <c r="AY29" t="str">
        <f>contactsSQL('Master Table'!AY29)</f>
        <v>INSERT INTO Contact (Name, Email, Phone) SELECT 'Tom Atkinson','Tom.Atkinson@bentley.com','15184415194' WHERE NOT EXISTS (SELECT Name FROM Contact WHERE Name = 'Tom Atkinson');</v>
      </c>
      <c r="AZ29" t="str">
        <f>contactsSQL('Master Table'!AZ29)</f>
        <v>INSERT INTO Contact (Name, Email, Phone) SELECT 'Tom Atkinson','Tom.Atkinson@bentley.com','15184415194' WHERE NOT EXISTS (SELECT Name FROM Contact WHERE Name = 'Tom Atkinson');</v>
      </c>
      <c r="BA29" t="str">
        <f>contactsSQL('Master Table'!BA29)</f>
        <v>INSERT INTO Contact (Name, Email, Phone) SELECT 'Tom Atkinson','Tom.Atkinson@bentley.com','15184415194' WHERE NOT EXISTS (SELECT Name FROM Contact WHERE Name = 'Tom Atkinson');</v>
      </c>
      <c r="BB29" t="str">
        <f>contactsSQL('Master Table'!BB29)</f>
        <v>INSERT INTO Contact (Name, Email, Phone) SELECT 'Tom Atkinson','Tom.Atkinson@bentley.com','15184415194' WHERE NOT EXISTS (SELECT Name FROM Contact WHERE Name = 'Tom Atkinson');</v>
      </c>
      <c r="BC29" t="str">
        <f>contactsSQL('Master Table'!BC29)</f>
        <v>INSERT INTO Contact (Name, Email, Phone) SELECT 'Tom Atkinson','Tom.Atkinson@bentley.com','15184415194' WHERE NOT EXISTS (SELECT Name FROM Contact WHERE Name = 'Tom Atkinson');</v>
      </c>
      <c r="BD29" t="str">
        <f>contactsSQL('Master Table'!BD29)</f>
        <v>INSERT INTO Contact (Name, Email, Phone) SELECT 'Fabian Folgar','Fabian.Folgar@bentley.com','16104582928' WHERE NOT EXISTS (SELECT Name FROM Contact WHERE Name = 'Fabian Folgar');INSERT INTO Contact (Name, Email, Phone) SELECT 'Vince DeFlavia','Vince.DeFlavia@bentley.com','16104585184' WHERE NOT EXISTS (SELECT Name FROM Contact WHERE Name = 'Vince DeFlavia');</v>
      </c>
      <c r="BE29" t="str">
        <f>contactsSQL('Master Table'!BE29)</f>
        <v>INSERT INTO Contact (Name, Email, Phone) SELECT 'Eric Crivella','Eric.Crivella@bentley.com','18322172802' WHERE NOT EXISTS (SELECT Name FROM Contact WHERE Name = 'Eric Crivella');</v>
      </c>
      <c r="BF29" t="str">
        <f>contactsSQL('Master Table'!BF29)</f>
        <v>INSERT INTO Contact (Name, Email, Phone) SELECT 'Diego Gimenes','Diego.Gimenes@bentley.com','551128232652' WHERE NOT EXISTS (SELECT Name FROM Contact WHERE Name = 'Diego Gimenes');</v>
      </c>
      <c r="BG29" t="str">
        <f>contactsSQL('Master Table'!BG29)</f>
        <v>INSERT INTO Contact (Name, Email, Phone) SELECT 'Tom Atkinson','Tom.Atkinson@bentley.com','15184415194' WHERE NOT EXISTS (SELECT Name FROM Contact WHERE Name = 'Tom Atkinson');</v>
      </c>
      <c r="BH29" t="str">
        <f>contactsSQL('Master Table'!BH29)</f>
        <v>INSERT INTO Contact (Name, Email, Phone) SELECT 'Tom Atkinson','Tom.Atkinson@bentley.com','15184415194' WHERE NOT EXISTS (SELECT Name FROM Contact WHERE Name = 'Tom Atkinson');</v>
      </c>
      <c r="BI29" t="str">
        <f>contactsSQL('Master Table'!BI29)</f>
        <v>INSERT INTO Contact (Name, Email, Phone) SELECT 'Tom Atkinson','Tom.Atkinson@bentley.com','15184415194' WHERE NOT EXISTS (SELECT Name FROM Contact WHERE Name = 'Tom Atkinson');</v>
      </c>
      <c r="BJ29" t="str">
        <f>contactsSQL('Master Table'!BJ29)</f>
        <v>INSERT INTO Contact (Name, Email, Phone) SELECT 'Tom Atkinson','Tom.Atkinson@bentley.com','15184415194' WHERE NOT EXISTS (SELECT Name FROM Contact WHERE Name = 'Tom Atkinson');</v>
      </c>
      <c r="BK29" t="str">
        <f>contactsSQL('Master Table'!BK29)</f>
        <v>INSERT INTO Contact (Name, Email, Phone) SELECT 'Tom Atkinson','Tom.Atkinson@bentley.com','15184415194' WHERE NOT EXISTS (SELECT Name FROM Contact WHERE Name = 'Tom Atkinson');</v>
      </c>
      <c r="BL29" t="str">
        <f>contactsSQL('Master Table'!BL29)</f>
        <v>INSERT INTO Contact (Name, Email, Phone) SELECT 'Tom Atkinson','Tom.Atkinson@bentley.com','15184415194' WHERE NOT EXISTS (SELECT Name FROM Contact WHERE Name = 'Tom Atkinson');</v>
      </c>
    </row>
    <row r="30" spans="3:64" x14ac:dyDescent="0.25">
      <c r="C30" t="str">
        <f>contactsSQL('Master Table'!C30)</f>
        <v>INSERT INTO Contact (Name, Email, Phone) SELECT 'Carlos Aguera','Carlos.Aguera@bentley.com','442078610973' WHERE NOT EXISTS (SELECT Name FROM Contact WHERE Name = 'Carlos Aguera');</v>
      </c>
      <c r="D30" t="str">
        <f>contactsSQL('Master Table'!D30)</f>
        <v>INSERT INTO Contact (Name, Email, Phone) SELECT 'Allen Adams','Allen.Adams@bentley.com','17604313610' WHERE NOT EXISTS (SELECT Name FROM Contact WHERE Name = 'Allen Adams');</v>
      </c>
      <c r="E30" t="str">
        <f>contactsSQL('Master Table'!E30)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30" t="str">
        <f>contactsSQL('Master Table'!F30)</f>
        <v>INSERT INTO Contact (Name, Email, Phone) SELECT 'Parvinder Jhita','Parvinder.Jhita@bentley.com','1' WHERE NOT EXISTS (SELECT Name FROM Contact WHERE Name = 'Parvinder Jhita');</v>
      </c>
      <c r="G30" t="str">
        <f>contactsSQL('Master Table'!G30)</f>
        <v>INSERT INTO Contact (Name, Email, Phone) SELECT 'Pat Couser','Pat.Couser@bentley.com','' WHERE NOT EXISTS (SELECT Name FROM Contact WHERE Name = 'Pat Couser');</v>
      </c>
      <c r="H30" t="str">
        <f>contactsSQL('Master Table'!H30)</f>
        <v>INSERT INTO Contact (Name, Email, Phone) SELECT 'Georgina Maldonado','Georgina.Maldonado@bentley.com','17133608369' WHERE NOT EXISTS (SELECT Name FROM Contact WHERE Name = 'Georgina Maldonado');</v>
      </c>
      <c r="I30" t="str">
        <f>contactsSQL('Master Table'!I30)</f>
        <v>INSERT INTO Contact (Name, Email, Phone) SELECT 'Gregor Strekelj','Gregor.Strekelj@bentley.com','4331682153165' WHERE NOT EXISTS (SELECT Name FROM Contact WHERE Name = 'Gregor Strekelj');</v>
      </c>
      <c r="J30" t="str">
        <f>contactsSQL('Master Table'!J30)</f>
        <v>INSERT INTO Contact (Name, Email, Phone) SELECT 'Xin Luo','Xin.Luo@bentley.com','19543439359' WHERE NOT EXISTS (SELECT Name FROM Contact WHERE Name = 'Xin Luo');</v>
      </c>
      <c r="K30" t="str">
        <f>contactsSQL('Master Table'!K30)</f>
        <v>INSERT INTO Contact (Name, Email, Phone) SELECT 'Sri Kanneganti','Sri.Kanneganti@bentley.com','19543439325' WHERE NOT EXISTS (SELECT Name FROM Contact WHERE Name = 'Sri Kanneganti');</v>
      </c>
      <c r="L30" t="str">
        <f>contactsSQL('Master Table'!L30)</f>
        <v>INSERT INTO Contact (Name, Email, Phone) SELECT 'Bill Beyer','Bill.Beyer@bentley.com','18166667568' WHERE NOT EXISTS (SELECT Name FROM Contact WHERE Name = 'Bill Beyer');</v>
      </c>
      <c r="M30" t="str">
        <f>contactsSQL('Master Table'!M30)</f>
        <v>INSERT INTO Contact (Name, Email, Phone) SELECT 'David Settlemeyer','David.Settlemyer@bentley.com','16103214610' WHERE NOT EXISTS (SELECT Name FROM Contact WHERE Name = 'David Settlemeyer');</v>
      </c>
      <c r="N30" t="str">
        <f>contactsSQL('Master Table'!N30)</f>
        <v>INSERT INTO Contact (Name, Email, Phone) SELECT 'Andy Smith','Andy.Smith@bentley.com','7046630319' WHERE NOT EXISTS (SELECT Name FROM Contact WHERE Name = 'Andy Smith');</v>
      </c>
      <c r="O30" t="str">
        <f>contactsSQL('Master Table'!O30)</f>
        <v>INSERT INTO Contact (Name, Email, Phone) SELECT 'Andy Smith','Andy.Smith@bentley.com','7046630319' WHERE NOT EXISTS (SELECT Name FROM Contact WHERE Name = 'Andy Smith');</v>
      </c>
      <c r="P30" t="str">
        <f>contactsSQL('Master Table'!P30)</f>
        <v>INSERT INTO Contact (Name, Email, Phone) SELECT 'Paul Demetriou','Paul.Demetriou@bentley.com','12088879204' WHERE NOT EXISTS (SELECT Name FROM Contact WHERE Name = 'Paul Demetriou');</v>
      </c>
      <c r="Q30" t="str">
        <f>contactsSQL('Master Table'!Q30)</f>
        <v>INSERT INTO Contact (Name, Email, Phone) SELECT 'Ian Rosam','Ian.Rosam@bentley.com','442078610313' WHERE NOT EXISTS (SELECT Name FROM Contact WHERE Name = 'Ian Rosam');</v>
      </c>
      <c r="R30" t="str">
        <f>contactsSQL('Master Table'!R30)</f>
        <v>INSERT INTO Contact (Name, Email, Phone) SELECT 'Ian Rosam','Ian.Rosam@bentley.com','442078610313' WHERE NOT EXISTS (SELECT Name FROM Contact WHERE Name = 'Ian Rosam');</v>
      </c>
      <c r="S30" t="str">
        <f>contactsSQL('Master Table'!S30)</f>
        <v>INSERT INTO Contact (Name, Email, Phone) SELECT 'Ian Rosam','Ian.Rosam@bentley.com','442078610313' WHERE NOT EXISTS (SELECT Name FROM Contact WHERE Name = 'Ian Rosam');</v>
      </c>
      <c r="T30" t="str">
        <f>contactsSQL('Master Table'!T30)</f>
        <v>INSERT INTO Contact (Name, Email, Phone) SELECT 'Kivanc Karakas','Kivanc.Karakas@bentley.com','442078610339' WHERE NOT EXISTS (SELECT Name FROM Contact WHERE Name = 'Kivanc Karakas');</v>
      </c>
      <c r="U30" t="str">
        <f>contactsSQL('Master Table'!U30)</f>
        <v>INSERT INTO Contact (Name, Email, Phone) SELECT 'Ian Rosam','Ian.Rosam@bentley.com','442078610313' WHERE NOT EXISTS (SELECT Name FROM Contact WHERE Name = 'Ian Rosam');</v>
      </c>
      <c r="V30" t="str">
        <f>contactsSQL('Master Table'!V30)</f>
        <v>INSERT INTO Contact (Name, Email, Phone) SELECT 'Francois Valois','Francois.Valois@bentley.com','15817817522' WHERE NOT EXISTS (SELECT Name FROM Contact WHERE Name = 'Francois Valois');</v>
      </c>
      <c r="W30" t="str">
        <f>contactsSQL('Master Table'!W30)</f>
        <v>INSERT INTO Contact (Name, Email, Phone) SELECT 'Nicolas Loubier','Nicolas.Loubier@bentley.com','15817817567' WHERE NOT EXISTS (SELECT Name FROM Contact WHERE Name = 'Nicolas Loubier');</v>
      </c>
      <c r="X30" t="str">
        <f>contactsSQL('Master Table'!X30)</f>
        <v>INSERT INTO Contact (Name, Email, Phone) SELECT 'Adnan Ulhaq','Adnan.Ulhaq@bentley.com','92512078422' WHERE NOT EXISTS (SELECT Name FROM Contact WHERE Name = 'Adnan Ulhaq');</v>
      </c>
      <c r="Y30" t="str">
        <f>contactsSQL('Master Table'!Y30)</f>
        <v>INSERT INTO Contact (Name, Email, Phone) SELECT 'Tim Lawrence','Tim.Lawrence@bentley.com','15873158588' WHERE NOT EXISTS (SELECT Name FROM Contact WHERE Name = 'Tim Lawrence');</v>
      </c>
      <c r="Z30" t="str">
        <f>contactsSQL('Master Table'!Z30)</f>
        <v>INSERT INTO Contact (Name, Email, Phone) SELECT 'Abbas Ali','','16104583160' WHERE NOT EXISTS (SELECT Name FROM Contact WHERE Name = 'Abbas Ali');</v>
      </c>
      <c r="AA30" t="str">
        <f>contactsSQL('Master Table'!AA30)</f>
        <v>INSERT INTO Contact (Name, Email, Phone) SELECT 'Rob Harper','Rob.Harper@bentley.com','17137303385' WHERE NOT EXISTS (SELECT Name FROM Contact WHERE Name = 'Rob Harper');</v>
      </c>
      <c r="AB30" t="str">
        <f>contactsSQL('Master Table'!AB30)</f>
        <v>INSERT INTO Contact (Name, Email, Phone) SELECT 'Alain Beland','Alain.Beland@bentley.com','14188802022' WHERE NOT EXISTS (SELECT Name FROM Contact WHERE Name = 'Alain Beland');</v>
      </c>
      <c r="AC30" t="str">
        <f>contactsSQL('Master Table'!AC30)</f>
        <v>INSERT INTO Contact (Name, Email, Phone) SELECT 'Tim Lawrence','Tim.Lawrence@bentley.com','15873158588' WHERE NOT EXISTS (SELECT Name FROM Contact WHERE Name = 'Tim Lawrence');</v>
      </c>
      <c r="AD30" t="str">
        <f>contactsSQL('Master Table'!AD30)</f>
        <v>INSERT INTO Contact (Name, Email, Phone) SELECT 'Benoit Frederique','Benoit.Fredericque@bentley.com','' WHERE NOT EXISTS (SELECT Name FROM Contact WHERE Name = 'Benoit Frederique');</v>
      </c>
      <c r="AE30" t="str">
        <f>contactsSQL('Master Table'!AE30)</f>
        <v>INSERT INTO Contact (Name, Email, Phone) SELECT 'Benoit Frederique','Benoit.Fredericque@bentley.com','' WHERE NOT EXISTS (SELECT Name FROM Contact WHERE Name = 'Benoit Frederique');</v>
      </c>
      <c r="AF30" t="str">
        <f>contactsSQL('Master Table'!AF30)</f>
        <v>INSERT INTO Contact (Name, Email, Phone) SELECT 'Benoit Frederique','Benoit.Fredericque@bentley.com','' WHERE NOT EXISTS (SELECT Name FROM Contact WHERE Name = 'Benoit Frederique');</v>
      </c>
      <c r="AG30" t="str">
        <f>contactsSQL('Master Table'!AG30)</f>
        <v>INSERT INTO Contact (Name, Email, Phone) SELECT 'Benoit Frederique','Benoit.Fredericque@bentley.com','' WHERE NOT EXISTS (SELECT Name FROM Contact WHERE Name = 'Benoit Frederique');</v>
      </c>
      <c r="AH30" t="str">
        <f>contactsSQL('Master Table'!AH30)</f>
        <v>INSERT INTO Contact (Name, Email, Phone) SELECT 'Jim Barr','Jim.Barr@bentley.com','12567241520' WHERE NOT EXISTS (SELECT Name FROM Contact WHERE Name = 'Jim Barr');</v>
      </c>
      <c r="AI30" t="str">
        <f>contactsSQL('Master Table'!AI30)</f>
        <v>INSERT INTO Contact (Name, Email, Phone) SELECT 'Slavica Bozic','Slavica.Bozic@bentley.com','16302338281' WHERE NOT EXISTS (SELECT Name FROM Contact WHERE Name = 'Slavica Bozic');</v>
      </c>
      <c r="AJ30" t="str">
        <f>contactsSQL('Master Table'!AJ30)</f>
        <v>INSERT INTO Contact (Name, Email, Phone) SELECT 'Jim Newman','Jim.Newman@bentley.com','17044332566' WHERE NOT EXISTS (SELECT Name FROM Contact WHERE Name = 'Jim Newman');</v>
      </c>
      <c r="AK30" t="str">
        <f>contactsSQL('Master Table'!AK30)</f>
        <v>INSERT INTO Contact (Name, Email, Phone) SELECT 'Aaron Beazley','Aaron.Beazley@bentley.com','12898162642' WHERE NOT EXISTS (SELECT Name FROM Contact WHERE Name = 'Aaron Beazley');</v>
      </c>
      <c r="AL30" t="str">
        <f>contactsSQL('Master Table'!AL30)</f>
        <v>INSERT INTO Contact (Name, Email, Phone) SELECT 'Gijsbert Noordam','Gijsbert.Noordam@bentley.com','31235560626' WHERE NOT EXISTS (SELECT Name FROM Contact WHERE Name = 'Gijsbert Noordam');</v>
      </c>
      <c r="AM30" t="str">
        <f>contactsSQL('Master Table'!AM30)</f>
        <v>INSERT INTO Contact (Name, Email, Phone) SELECT 'Gregg Herrin','Gregg.Herrin@bentley.com','16104583188' WHERE NOT EXISTS (SELECT Name FROM Contact WHERE Name = 'Gregg Herrin');</v>
      </c>
      <c r="AN30" t="str">
        <f>contactsSQL('Master Table'!AN30)</f>
        <v>INSERT INTO Contact (Name, Email, Phone) SELECT 'Gijsbert Noordam','Gijsbert.Noordam@bentley.com','31235560626' WHERE NOT EXISTS (SELECT Name FROM Contact WHERE Name = 'Gijsbert Noordam');</v>
      </c>
      <c r="AO30" t="str">
        <f>contactsSQL('Master Table'!AO30)</f>
        <v>INSERT INTO Contact (Name, Email, Phone) SELECT 'Russell Page','Russell.Page@bentley.com','13032210689' WHERE NOT EXISTS (SELECT Name FROM Contact WHERE Name = 'Russell Page');</v>
      </c>
      <c r="AP30" t="str">
        <f>contactsSQL('Master Table'!AP30)</f>
        <v>INSERT INTO Contact (Name, Email, Phone) SELECT 'Mal Sharkey','Mal.Sharkey@bentley.com','61396978623' WHERE NOT EXISTS (SELECT Name FROM Contact WHERE Name = 'Mal Sharkey');</v>
      </c>
      <c r="AQ30" t="str">
        <f>contactsSQL('Master Table'!AQ30)</f>
        <v>INSERT INTO Contact (Name, Email, Phone) SELECT 'Aaron Beazily','Aaron.Beazley@bentley.com','12898162642' WHERE NOT EXISTS (SELECT Name FROM Contact WHERE Name = 'Aaron Beazily');</v>
      </c>
      <c r="AR30" t="str">
        <f>contactsSQL('Master Table'!AR30)</f>
        <v>INSERT INTO Contact (Name, Email, Phone) SELECT 'Jim Scott','Jim.Scott@bentley.com','13039670864' WHERE NOT EXISTS (SELECT Name FROM Contact WHERE Name = 'Jim Scott');</v>
      </c>
      <c r="AS30" t="str">
        <f>contactsSQL('Master Table'!AS30)</f>
        <v>INSERT INTO Contact (Name, Email, Phone) SELECT 'Duncan Rodger','Duncan.Rodger@bentley.com','441349865554' WHERE NOT EXISTS (SELECT Name FROM Contact WHERE Name = 'Duncan Rodger');</v>
      </c>
      <c r="AT30" t="str">
        <f>contactsSQL('Master Table'!AT30)</f>
        <v>INSERT INTO Contact (Name, Email, Phone) SELECT 'Taylor Gilmore','Taylor.Gilmore@bentley.com','14126811521' WHERE NOT EXISTS (SELECT Name FROM Contact WHERE Name = 'Taylor Gilmore');</v>
      </c>
      <c r="AU30" t="str">
        <f>contactsSQL('Master Table'!AU30)</f>
        <v>INSERT INTO Contact (Name, Email, Phone) SELECT 'Paolomee Udani','Paolomee.Udani@bentley.com','19252745107' WHERE NOT EXISTS (SELECT Name FROM Contact WHERE Name = 'Paolomee Udani');</v>
      </c>
      <c r="AV30" t="str">
        <f>contactsSQL('Master Table'!AV30)</f>
        <v>INSERT INTO Contact (Name, Email, Phone) SELECT 'Bill McNamara','Bill.McNamara@bentley.com','16104587602' WHERE NOT EXISTS (SELECT Name FROM Contact WHERE Name = 'Bill McNamara');</v>
      </c>
      <c r="AW30" t="str">
        <f>contactsSQL('Master Table'!AW30)</f>
        <v>INSERT INTO Contact (Name, Email, Phone) SELECT 'Bill McNamara','Bill.McNamara@bentley.com','16104587602' WHERE NOT EXISTS (SELECT Name FROM Contact WHERE Name = 'Bill McNamara');</v>
      </c>
      <c r="AX30" t="str">
        <f>contactsSQL('Master Table'!AX30)</f>
        <v>INSERT INTO Contact (Name, Email, Phone) SELECT 'Bill McNamara','Bill.McNamara@bentley.com','16104587602' WHERE NOT EXISTS (SELECT Name FROM Contact WHERE Name = 'Bill McNamara');</v>
      </c>
      <c r="AY30" t="str">
        <f>contactsSQL('Master Table'!AY30)</f>
        <v>INSERT INTO Contact (Name, Email, Phone) SELECT 'Bill McNamara','Bill.McNamara@bentley.com','16104587602' WHERE NOT EXISTS (SELECT Name FROM Contact WHERE Name = 'Bill McNamara');</v>
      </c>
      <c r="AZ30" t="str">
        <f>contactsSQL('Master Table'!AZ30)</f>
        <v>INSERT INTO Contact (Name, Email, Phone) SELECT 'Bill McNamara','Bill.McNamara@bentley.com','16104587602' WHERE NOT EXISTS (SELECT Name FROM Contact WHERE Name = 'Bill McNamara');</v>
      </c>
      <c r="BA30" t="str">
        <f>contactsSQL('Master Table'!BA30)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30" t="str">
        <f>contactsSQL('Master Table'!BB30)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30" t="str">
        <f>contactsSQL('Master Table'!BC30)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30" t="str">
        <f>contactsSQL('Master Table'!BD30)</f>
        <v>INSERT INTO Contact (Name, Email, Phone) SELECT 'Joe Granville','Joe.Granville@bentley.com','16104582951' WHERE NOT EXISTS (SELECT Name FROM Contact WHERE Name = 'Joe Granville');</v>
      </c>
      <c r="BE30" t="str">
        <f>contactsSQL('Master Table'!BE30)</f>
        <v>INSERT INTO Contact (Name, Email, Phone) SELECT 'Beth Buerger','Beth.Buerger@bentley.com','17205283380' WHERE NOT EXISTS (SELECT Name FROM Contact WHERE Name = 'Beth Buerger');</v>
      </c>
      <c r="BF30" t="str">
        <f>contactsSQL('Master Table'!BF30)</f>
        <v>INSERT INTO Contact (Name, Email, Phone) SELECT 'Sam Stuart','Sam.Stuart@bentley.com','' WHERE NOT EXISTS (SELECT Name FROM Contact WHERE Name = 'Sam Stuart');</v>
      </c>
      <c r="BG30" t="str">
        <f>contactsSQL('Master Table'!BG30)</f>
        <v>INSERT INTO Contact (Name, Email, Phone) SELECT 'Rimantas Varanavicius','imantas.Varanavicius@bentley.com','37052398145' WHERE NOT EXISTS (SELECT Name FROM Contact WHERE Name = 'Rimantas Varanavicius');</v>
      </c>
      <c r="BH30" t="str">
        <f>contactsSQL('Master Table'!BH30)</f>
        <v>INSERT INTO Contact (Name, Email, Phone) SELECT 'Jo Wright','Jo.Wright@bentley.com','12569701111' WHERE NOT EXISTS (SELECT Name FROM Contact WHERE Name = 'Jo Wright');</v>
      </c>
      <c r="BI30" t="str">
        <f>contactsSQL('Master Table'!BI30)</f>
        <v>INSERT INTO Contact (Name, Email, Phone) SELECT 'Jo Wright','Jo.Wright@bentley.com','12569701111' WHERE NOT EXISTS (SELECT Name FROM Contact WHERE Name = 'Jo Wright');</v>
      </c>
      <c r="BJ30" t="str">
        <f>contactsSQL('Master Table'!BJ30)</f>
        <v>INSERT INTO Contact (Name, Email, Phone) SELECT 'Jo Wright','Jo.Wright@bentley.com','12569701111' WHERE NOT EXISTS (SELECT Name FROM Contact WHERE Name = 'Jo Wright');</v>
      </c>
      <c r="BK30" t="str">
        <f>contactsSQL('Master Table'!BK30)</f>
        <v>INSERT INTO Contact (Name, Email, Phone) SELECT 'Jo Wright','Jo.Wright@bentley.com','12569701111' WHERE NOT EXISTS (SELECT Name FROM Contact WHERE Name = 'Jo Wright');</v>
      </c>
      <c r="BL30" t="str">
        <f>contactsSQL('Master Table'!BL30)</f>
        <v>INSERT INTO Contact (Name, Email, Phone) SELECT 'Jo Wright','Jo.Wright@bentley.com','12569701111' WHERE NOT EXISTS (SELECT Name FROM Contact WHERE Name = 'Jo Wright');</v>
      </c>
    </row>
    <row r="31" spans="3:64" x14ac:dyDescent="0.25">
      <c r="C31" t="str">
        <f>contactsSQL('Master Table'!C31)</f>
        <v/>
      </c>
      <c r="D31" t="str">
        <f>contactsSQL('Master Table'!D31)</f>
        <v/>
      </c>
      <c r="E31" t="str">
        <f>contactsSQL('Master Table'!E31)</f>
        <v>INSERT INTO Contact (Name, Email, Phone) SELECT 'Leonardo Serilo','','' WHERE NOT EXISTS (SELECT Name FROM Contact WHERE Name = 'Leonardo Serilo');</v>
      </c>
      <c r="F31" t="str">
        <f>contactsSQL('Master Table'!F31)</f>
        <v>INSERT INTO Contact (Name, Email, Phone) SELECT 'Rafael Lara','Rafael.Lara@bentley.com','5521994350823' WHERE NOT EXISTS (SELECT Name FROM Contact WHERE Name = 'Rafael Lara');</v>
      </c>
      <c r="G31" t="str">
        <f>contactsSQL('Master Table'!G31)</f>
        <v>INSERT INTO Contact (Name, Email, Phone) SELECT 'Ian Sevilla','Ian.Sevilla@bentley.com','61894311511' WHERE NOT EXISTS (SELECT Name FROM Contact WHERE Name = 'Ian Sevilla');</v>
      </c>
      <c r="H31" t="str">
        <f>contactsSQL('Master Table'!H31)</f>
        <v>INSERT INTO Contact (Name, Email, Phone) SELECT 'Rupesh Kumar','Rupesh.Kumar@bentley.com','160379403439' WHERE NOT EXISTS (SELECT Name FROM Contact WHERE Name = 'Rupesh Kumar');</v>
      </c>
      <c r="I31" t="str">
        <f>contactsSQL('Master Table'!I31)</f>
        <v>INSERT INTO Contact (Name, Email, Phone) SELECT 'Ignacio Almagro','Ignacio.Almagro@bentley.com','19543439336' WHERE NOT EXISTS (SELECT Name FROM Contact WHERE Name = 'Ignacio Almagro');</v>
      </c>
      <c r="J31" t="str">
        <f>contactsSQL('Master Table'!J31)</f>
        <v>INSERT INTO Contact (Name, Email, Phone) SELECT 'Ignacio Almagro','Ignacio.Almagro@bentley.com','19543439336' WHERE NOT EXISTS (SELECT Name FROM Contact WHERE Name = 'Ignacio Almagro');</v>
      </c>
      <c r="K31" t="str">
        <f>contactsSQL('Master Table'!K31)</f>
        <v>INSERT INTO Contact (Name, Email, Phone) SELECT 'Ignacio Almagro','Ignacio.Almagro@bentley.com','19543439336' WHERE NOT EXISTS (SELECT Name FROM Contact WHERE Name = 'Ignacio Almagro');</v>
      </c>
      <c r="L31" t="str">
        <f>contactsSQL('Master Table'!L31)</f>
        <v>INSERT INTO Contact (Name, Email, Phone) SELECT 'Ignacio Almagro','Ignacio.Almagro@bentley.com','19543439336' WHERE NOT EXISTS (SELECT Name FROM Contact WHERE Name = 'Ignacio Almagro');</v>
      </c>
      <c r="M31" t="str">
        <f>contactsSQL('Master Table'!M31)</f>
        <v>INSERT INTO Contact (Name, Email, Phone) SELECT 'Chris Croucher','Chris.Croucher@bentley.com','16103214606' WHERE NOT EXISTS (SELECT Name FROM Contact WHERE Name = 'Chris Croucher');</v>
      </c>
      <c r="N31" t="str">
        <f>contactsSQL('Master Table'!N31)</f>
        <v>INSERT INTO Contact (Name, Email, Phone) SELECT 'Rodolfo Guilherme','rodolfo.guilherme@bentley.com','551128232678' WHERE NOT EXISTS (SELECT Name FROM Contact WHERE Name = 'Rodolfo Guilherme');</v>
      </c>
      <c r="O31" t="str">
        <f>contactsSQL('Master Table'!O31)</f>
        <v>INSERT INTO Contact (Name, Email, Phone) SELECT 'Steve Brown','Steve.Brown@bentley.com','44' WHERE NOT EXISTS (SELECT Name FROM Contact WHERE Name = 'Steve Brown');</v>
      </c>
      <c r="P31" t="str">
        <f>contactsSQL('Master Table'!P31)</f>
        <v>INSERT INTO Contact (Name, Email, Phone) SELECT 'Rodolfo Guilherme','rodolfo.guilherme@bentley.com','551128232678' WHERE NOT EXISTS (SELECT Name FROM Contact WHERE Name = 'Rodolfo Guilherme');</v>
      </c>
      <c r="Q31" t="str">
        <f>contactsSQL('Master Table'!Q31)</f>
        <v>INSERT INTO Contact (Name, Email, Phone) SELECT 'Cesar Puga','Cesar.Puga@bentley.com','524422165052' WHERE NOT EXISTS (SELECT Name FROM Contact WHERE Name = 'Cesar Puga');</v>
      </c>
      <c r="R31" t="str">
        <f>contactsSQL('Master Table'!R31)</f>
        <v>INSERT INTO Contact (Name, Email, Phone) SELECT 'Cesar Puga','Cesar.Puga@bentley.com','524422165052' WHERE NOT EXISTS (SELECT Name FROM Contact WHERE Name = 'Cesar Puga');</v>
      </c>
      <c r="S31" t="str">
        <f>contactsSQL('Master Table'!S31)</f>
        <v>INSERT INTO Contact (Name, Email, Phone) SELECT 'Cesar Puga','Cesar.Puga@bentley.com','524422165052' WHERE NOT EXISTS (SELECT Name FROM Contact WHERE Name = 'Cesar Puga');</v>
      </c>
      <c r="T31" t="str">
        <f>contactsSQL('Master Table'!T31)</f>
        <v>INSERT INTO Contact (Name, Email, Phone) SELECT 'Cesar Puga','Cesar.Puga@bentley.com','524422165052' WHERE NOT EXISTS (SELECT Name FROM Contact WHERE Name = 'Cesar Puga');</v>
      </c>
      <c r="U31" t="str">
        <f>contactsSQL('Master Table'!U31)</f>
        <v>INSERT INTO Contact (Name, Email, Phone) SELECT 'Cesar Puga','Cesar.Puga@bentley.com','524422165052' WHERE NOT EXISTS (SELECT Name FROM Contact WHERE Name = 'Cesar Puga');</v>
      </c>
      <c r="V31" t="str">
        <f>contactsSQL('Master Table'!V31)</f>
        <v>INSERT INTO Contact (Name, Email, Phone) SELECT 'Kevin McDonald','Kevin.McDonald@bentley.com','12569701123' WHERE NOT EXISTS (SELECT Name FROM Contact WHERE Name = 'Kevin McDonald');</v>
      </c>
      <c r="W31" t="str">
        <f>contactsSQL('Master Table'!W31)</f>
        <v>INSERT INTO Contact (Name, Email, Phone) SELECT 'Katie Aguilar','Katie.Aguilar@bentley.com','16782341311' WHERE NOT EXISTS (SELECT Name FROM Contact WHERE Name = 'Katie Aguilar');</v>
      </c>
      <c r="X31" t="str">
        <f>contactsSQL('Master Table'!X31)</f>
        <v>INSERT INTO Contact (Name, Email, Phone) SELECT 'Gustavo Marin','Gustavo.Marin@bentley.com','584166329440' WHERE NOT EXISTS (SELECT Name FROM Contact WHERE Name = 'Gustavo Marin');</v>
      </c>
      <c r="Y31" t="str">
        <f>contactsSQL('Master Table'!Y31)</f>
        <v>INSERT INTO Contact (Name, Email, Phone) SELECT 'Tim Lawrence','Tim.Lawrence@bentley.com','15873158588' WHERE NOT EXISTS (SELECT Name FROM Contact WHERE Name = 'Tim Lawrence');</v>
      </c>
      <c r="Z31" t="str">
        <f>contactsSQL('Master Table'!Z31)</f>
        <v>INSERT INTO Contact (Name, Email, Phone) SELECT 'Pablo Garrido','Pablo.Garrido@bentley.com','551128232679' WHERE NOT EXISTS (SELECT Name FROM Contact WHERE Name = 'Pablo Garrido');</v>
      </c>
      <c r="AA31" t="str">
        <f>contactsSQL('Master Table'!AA31)</f>
        <v>INSERT INTO Contact (Name, Email, Phone) SELECT 'Ari Rantasalo','Ari.Rantasalo@bentley.com','17134443820' WHERE NOT EXISTS (SELECT Name FROM Contact WHERE Name = 'Ari Rantasalo');</v>
      </c>
      <c r="AB31" t="str">
        <f>contactsSQL('Master Table'!AB31)</f>
        <v>INSERT INTO Contact (Name, Email, Phone) SELECT 'Alain Beland','Alain.Beland@bentley.com','14188802022' WHERE NOT EXISTS (SELECT Name FROM Contact WHERE Name = 'Alain Beland');</v>
      </c>
      <c r="AC31" t="str">
        <f>contactsSQL('Master Table'!AC31)</f>
        <v>INSERT INTO Contact (Name, Email, Phone) SELECT 'Peter Alspaugh','Peter.Alspaugh@bentley.com','18322172816' WHERE NOT EXISTS (SELECT Name FROM Contact WHERE Name = 'Peter Alspaugh');</v>
      </c>
      <c r="AD31" t="str">
        <f>contactsSQL('Master Table'!AD31)</f>
        <v>INSERT INTO Contact (Name, Email, Phone) SELECT 'Mike Barkasi','Mike.Barkasi@bentley.com','16103216357' WHERE NOT EXISTS (SELECT Name FROM Contact WHERE Name = 'Mike Barkasi');</v>
      </c>
      <c r="AE31" t="str">
        <f>contactsSQL('Master Table'!AE31)</f>
        <v>INSERT INTO Contact (Name, Email, Phone) SELECT 'Mike Barkasi','Mike.Barkasi@bentley.com','16103216357' WHERE NOT EXISTS (SELECT Name FROM Contact WHERE Name = 'Mike Barkasi');</v>
      </c>
      <c r="AF31" t="str">
        <f>contactsSQL('Master Table'!AF31)</f>
        <v>INSERT INTO Contact (Name, Email, Phone) SELECT 'Mike Barkasi','Mike.Barkasi@bentley.com','16103216357' WHERE NOT EXISTS (SELECT Name FROM Contact WHERE Name = 'Mike Barkasi');</v>
      </c>
      <c r="AG31" t="str">
        <f>contactsSQL('Master Table'!AG31)</f>
        <v>INSERT INTO Contact (Name, Email, Phone) SELECT 'Mike Barkasi','Mike.Barkasi@bentley.com','16103216357' WHERE NOT EXISTS (SELECT Name FROM Contact WHERE Name = 'Mike Barkasi');</v>
      </c>
      <c r="AH31" t="str">
        <f>contactsSQL('Master Table'!AH31)</f>
        <v>INSERT INTO Contact (Name, Email, Phone) SELECT 'Adam Smith','Adam.Smith@bentley.com','' WHERE NOT EXISTS (SELECT Name FROM Contact WHERE Name = 'Adam Smith');</v>
      </c>
      <c r="AI31" t="str">
        <f>contactsSQL('Master Table'!AI31)</f>
        <v/>
      </c>
      <c r="AJ31" t="str">
        <f>contactsSQL('Master Table'!AJ31)</f>
        <v>INSERT INTO Contact (Name, Email, Phone) SELECT 'Cindy Stephens','Cindy.Stephens@bentley.com','1858' WHERE NOT EXISTS (SELECT Name FROM Contact WHERE Name = 'Cindy Stephens');</v>
      </c>
      <c r="AK31" t="str">
        <f>contactsSQL('Master Table'!AK31)</f>
        <v>INSERT INTO Contact (Name, Email, Phone) SELECT 'David Crozier','David.Crozier@bentley.com','1' WHERE NOT EXISTS (SELECT Name FROM Contact WHERE Name = 'David Crozier');</v>
      </c>
      <c r="AL31" t="str">
        <f>contactsSQL('Master Table'!AL31)</f>
        <v>INSERT INTO Contact (Name, Email, Phone) SELECT 'Linda Oliveira','Linda.Oliveira@bentley.com','16104586084' WHERE NOT EXISTS (SELECT Name FROM Contact WHERE Name = 'Linda Oliveira');</v>
      </c>
      <c r="AM31" t="str">
        <f>contactsSQL('Master Table'!AM31)</f>
        <v>INSERT INTO Contact (Name, Email, Phone) SELECT 'Mike Horsfall','Mike.Horsfall@bentley.com','512' WHERE NOT EXISTS (SELECT Name FROM Contact WHERE Name = 'Mike Horsfall');</v>
      </c>
      <c r="AN31" t="str">
        <f>contactsSQL('Master Table'!AN31)</f>
        <v>INSERT INTO Contact (Name, Email, Phone) SELECT 'Lon Opp','Lon.Opp@bentley.com','12569701127' WHERE NOT EXISTS (SELECT Name FROM Contact WHERE Name = 'Lon Opp');</v>
      </c>
      <c r="AO31" t="str">
        <f>contactsSQL('Master Table'!AO31)</f>
        <v>INSERT INTO Contact (Name, Email, Phone) SELECT 'Clive Hackforth','Clive.Hackforth@bentley.com','442078610933' WHERE NOT EXISTS (SELECT Name FROM Contact WHERE Name = 'Clive Hackforth');</v>
      </c>
      <c r="AP31" t="str">
        <f>contactsSQL('Master Table'!AP31)</f>
        <v>INSERT INTO Contact (Name, Email, Phone) SELECT 'Kristen Dietrich','Kristen.Dietrich@bentley.com','12038050414' WHERE NOT EXISTS (SELECT Name FROM Contact WHERE Name = 'Kristen Dietrich');</v>
      </c>
      <c r="AQ31" t="str">
        <f>contactsSQL('Master Table'!AQ31)</f>
        <v>INSERT INTO Contact (Name, Email, Phone) SELECT 'Joanna Slowinska','Joanna.Slowinska@bentley.com','442078610317' WHERE NOT EXISTS (SELECT Name FROM Contact WHERE Name = 'Joanna Slowinska');</v>
      </c>
      <c r="AR31" t="str">
        <f>contactsSQL('Master Table'!AR31)</f>
        <v>INSERT INTO Contact (Name, Email, Phone) SELECT 'Richard Ellis','Richard.Ellis@bentley.com','6421611832' WHERE NOT EXISTS (SELECT Name FROM Contact WHERE Name = 'Richard Ellis');</v>
      </c>
      <c r="AS31" t="str">
        <f>contactsSQL('Master Table'!AS31)</f>
        <v>INSERT INTO Contact (Name, Email, Phone) SELECT 'Neil Pickin','Neil.Pickin@bentley.com','441619731462' WHERE NOT EXISTS (SELECT Name FROM Contact WHERE Name = 'Neil Pickin');</v>
      </c>
      <c r="AT31" t="str">
        <f>contactsSQL('Master Table'!AT31)</f>
        <v>INSERT INTO Contact (Name, Email, Phone) SELECT 'Mark Mazzeo','Mark.Mazzeo@bentley.com','14122303034' WHERE NOT EXISTS (SELECT Name FROM Contact WHERE Name = 'Mark Mazzeo');</v>
      </c>
      <c r="AU31" t="str">
        <f>contactsSQL('Master Table'!AU31)</f>
        <v>INSERT INTO Contact (Name, Email, Phone) SELECT 'Paul Johnson','Paul.Johnson@bentley.com','16104583191' WHERE NOT EXISTS (SELECT Name FROM Contact WHERE Name = 'Paul Johnson');</v>
      </c>
      <c r="AV31" t="str">
        <f>contactsSQL('Master Table'!AV31)</f>
        <v>INSERT INTO Contact (Name, Email, Phone) SELECT 'Dana Guthrie','Dana.Guthrie@bentley.com','16104582619' WHERE NOT EXISTS (SELECT Name FROM Contact WHERE Name = 'Dana Guthrie');</v>
      </c>
      <c r="AW31" t="str">
        <f>contactsSQL('Master Table'!AW31)</f>
        <v>INSERT INTO Contact (Name, Email, Phone) SELECT 'Ranveer Basra','Ranveer.Basra@bentley.com','16104582950' WHERE NOT EXISTS (SELECT Name FROM Contact WHERE Name = 'Ranveer Basra');</v>
      </c>
      <c r="AX31" t="str">
        <f>contactsSQL('Master Table'!AX31)</f>
        <v>INSERT INTO Contact (Name, Email, Phone) SELECT 'Raul Guerrero','Raul.Guerrero@bentley.com','17146856467' WHERE NOT EXISTS (SELECT Name FROM Contact WHERE Name = 'Raul Guerrero');</v>
      </c>
      <c r="AY31" t="str">
        <f>contactsSQL('Master Table'!AY31)</f>
        <v>INSERT INTO Contact (Name, Email, Phone) SELECT 'Raul Guerrero','Raul.Guerrero@bentley.com','17146856467' WHERE NOT EXISTS (SELECT Name FROM Contact WHERE Name = 'Raul Guerrero');</v>
      </c>
      <c r="AZ31" t="str">
        <f>contactsSQL('Master Table'!AZ31)</f>
        <v>INSERT INTO Contact (Name, Email, Phone) SELECT 'Vickie Hewitt','Vickie.Hewitt@bentley.com','16104582722' WHERE NOT EXISTS (SELECT Name FROM Contact WHERE Name = 'Vickie Hewitt');</v>
      </c>
      <c r="BA31" t="str">
        <f>contactsSQL('Master Table'!BA31)</f>
        <v>INSERT INTO Contact (Name, Email, Phone) SELECT 'Ranveer Basra','Ranveer.Basra@bentley.com','16104582950' WHERE NOT EXISTS (SELECT Name FROM Contact WHERE Name = 'Ranveer Basra');</v>
      </c>
      <c r="BB31" t="str">
        <f>contactsSQL('Master Table'!BB31)</f>
        <v>INSERT INTO Contact (Name, Email, Phone) SELECT 'Ranveer Basra','Ranveer.Basra@bentley.com','16104582950' WHERE NOT EXISTS (SELECT Name FROM Contact WHERE Name = 'Ranveer Basra');</v>
      </c>
      <c r="BC31" t="str">
        <f>contactsSQL('Master Table'!BC31)</f>
        <v>INSERT INTO Contact (Name, Email, Phone) SELECT 'Ranveer Basra','Ranveer.Basra@bentley.com','16104582950' WHERE NOT EXISTS (SELECT Name FROM Contact WHERE Name = 'Ranveer Basra');</v>
      </c>
      <c r="BD31" t="str">
        <f>contactsSQL('Master Table'!BD31)</f>
        <v>INSERT INTO Contact (Name, Email, Phone) SELECT 'Paul Johnson','Paul.Johnson@bentley.com','16104583191' WHERE NOT EXISTS (SELECT Name FROM Contact WHERE Name = 'Paul Johnson');</v>
      </c>
      <c r="BE31" t="str">
        <f>contactsSQL('Master Table'!BE31)</f>
        <v>INSERT INTO Contact (Name, Email, Phone) SELECT 'Paul Johnson','Paul.Johnson@bentley.com','16104583191' WHERE NOT EXISTS (SELECT Name FROM Contact WHERE Name = 'Paul Johnson');</v>
      </c>
      <c r="BF31" t="str">
        <f>contactsSQL('Master Table'!BF31)</f>
        <v>INSERT INTO Contact (Name, Email, Phone) SELECT 'Matt Starke','Matt.Starke@bentley.com','15102502118' WHERE NOT EXISTS (SELECT Name FROM Contact WHERE Name = 'Matt Starke');</v>
      </c>
      <c r="BG31" t="str">
        <f>contactsSQL('Master Table'!BG31)</f>
        <v>INSERT INTO Contact (Name, Email, Phone) SELECT 'Molly Watts','Molly.Watts@bentley.com','16104583183' WHERE NOT EXISTS (SELECT Name FROM Contact WHERE Name = 'Molly Watts');</v>
      </c>
      <c r="BH31" t="str">
        <f>contactsSQL('Master Table'!BH31)</f>
        <v>INSERT INTO Contact (Name, Email, Phone) SELECT 'Amol Sonawane','Amol.Sonawane@bentley.com','912066021201' WHERE NOT EXISTS (SELECT Name FROM Contact WHERE Name = 'Amol Sonawane');</v>
      </c>
      <c r="BI31" t="str">
        <f>contactsSQL('Master Table'!BI31)</f>
        <v>INSERT INTO Contact (Name, Email, Phone) SELECT 'Ranveer Basra','Ranveer.Basra@bentley.com','16104582950' WHERE NOT EXISTS (SELECT Name FROM Contact WHERE Name = 'Ranveer Basra');</v>
      </c>
      <c r="BJ31" t="str">
        <f>contactsSQL('Master Table'!BJ31)</f>
        <v>INSERT INTO Contact (Name, Email, Phone) SELECT 'Marion Powell','Marion.Powell@bentley.com','1' WHERE NOT EXISTS (SELECT Name FROM Contact WHERE Name = 'Marion Powell');</v>
      </c>
      <c r="BK31" t="str">
        <f>contactsSQL('Master Table'!BK31)</f>
        <v>INSERT INTO Contact (Name, Email, Phone) SELECT 'Todd Combs','Todd.Combs@bentley.com','12569701167' WHERE NOT EXISTS (SELECT Name FROM Contact WHERE Name = 'Todd Combs');</v>
      </c>
      <c r="BL31" t="str">
        <f>contactsSQL('Master Table'!BL31)</f>
        <v>INSERT INTO Contact (Name, Email, Phone) SELECT 'Todd Combs','Todd.Combs@bentley.com','12569701167' WHERE NOT EXISTS (SELECT Name FROM Contact WHERE Name = 'Todd Combs');</v>
      </c>
    </row>
    <row r="32" spans="3:64" x14ac:dyDescent="0.25">
      <c r="C32" t="str">
        <f>contactsSQL('Master Table'!C32)</f>
        <v>INSERT INTO Contact (Name, Email, Phone) SELECT 'Sandra Mora','Sandra.Mora@bentley.com','610732704344' WHERE NOT EXISTS (SELECT Name FROM Contact WHERE Name = 'Sandra Mora');</v>
      </c>
      <c r="D32" t="str">
        <f>contactsSQL('Master Table'!D32)</f>
        <v>INSERT INTO Contact (Name, Email, Phone) SELECT 'Sandra Mora','Sandra.Mora@bentley.com','610732704344' WHERE NOT EXISTS (SELECT Name FROM Contact WHERE Name = 'Sandra Mora');</v>
      </c>
      <c r="E32" t="str">
        <f>contactsSQL('Master Table'!E32)</f>
        <v>INSERT INTO Contact (Name, Email, Phone) SELECT 'Sandra Mora','Sandra.Mora@bentley.com','610732704344' WHERE NOT EXISTS (SELECT Name FROM Contact WHERE Name = 'Sandra Mora');</v>
      </c>
      <c r="F32" t="str">
        <f>contactsSQL('Master Table'!F32)</f>
        <v>INSERT INTO Contact (Name, Email, Phone) SELECT 'Sandra Mora','Sandra.Mora@bentley.com','610732704344' WHERE NOT EXISTS (SELECT Name FROM Contact WHERE Name = 'Sandra Mora');</v>
      </c>
      <c r="G32" t="str">
        <f>contactsSQL('Master Table'!G32)</f>
        <v>INSERT INTO Contact (Name, Email, Phone) SELECT 'Sandra Mora','Sandra.Mora@bentley.com','610732704344' WHERE NOT EXISTS (SELECT Name FROM Contact WHERE Name = 'Sandra Mora');</v>
      </c>
      <c r="H32" t="str">
        <f>contactsSQL('Master Table'!H32)</f>
        <v>INSERT INTO Contact (Name, Email, Phone) SELECT 'Sandra Mora','Sandra.Mora@bentley.com','610732704344' WHERE NOT EXISTS (SELECT Name FROM Contact WHERE Name = 'Sandra Mora');</v>
      </c>
      <c r="I32" t="str">
        <f>contactsSQL('Master Table'!I32)</f>
        <v/>
      </c>
      <c r="J32" t="str">
        <f>contactsSQL('Master Table'!J32)</f>
        <v/>
      </c>
      <c r="K32" t="str">
        <f>contactsSQL('Master Table'!K32)</f>
        <v/>
      </c>
      <c r="L32" t="str">
        <f>contactsSQL('Master Table'!L32)</f>
        <v/>
      </c>
      <c r="M32" t="str">
        <f>contactsSQL('Master Table'!M32)</f>
        <v/>
      </c>
      <c r="N32" t="str">
        <f>contactsSQL('Master Table'!N32)</f>
        <v>INSERT INTO Contact (Name, Email, Phone) SELECT 'Sai Selvakumar','Sai.Selvakumar@bentley.com','61396978657' WHERE NOT EXISTS (SELECT Name FROM Contact WHERE Name = 'Sai Selvakumar');</v>
      </c>
      <c r="O32" t="str">
        <f>contactsSQL('Master Table'!O32)</f>
        <v>INSERT INTO Contact (Name, Email, Phone) SELECT 'Sai Selvakumar','Sai.Selvakumar@bentley.com','61396978657' WHERE NOT EXISTS (SELECT Name FROM Contact WHERE Name = 'Sai Selvakumar');</v>
      </c>
      <c r="P32" t="str">
        <f>contactsSQL('Master Table'!P32)</f>
        <v>INSERT INTO Contact (Name, Email, Phone) SELECT 'Sai Selvakumar','Sai.Selvakumar@bentley.com','61396978657' WHERE NOT EXISTS (SELECT Name FROM Contact WHERE Name = 'Sai Selvakumar');</v>
      </c>
      <c r="Q32" t="str">
        <f>contactsSQL('Master Table'!Q32)</f>
        <v>INSERT INTO Contact (Name, Email, Phone) SELECT 'Sai Selvakumar','Sai.Selvakumar@bentley.com','61396978657' WHERE NOT EXISTS (SELECT Name FROM Contact WHERE Name = 'Sai Selvakumar');</v>
      </c>
      <c r="R32" t="str">
        <f>contactsSQL('Master Table'!R32)</f>
        <v>INSERT INTO Contact (Name, Email, Phone) SELECT 'Raj Dodda','Raj.Dodda@bentley.com','61288778805' WHERE NOT EXISTS (SELECT Name FROM Contact WHERE Name = 'Raj Dodda');</v>
      </c>
      <c r="S32" t="str">
        <f>contactsSQL('Master Table'!S32)</f>
        <v>INSERT INTO Contact (Name, Email, Phone) SELECT 'Raj Dodda','Raj.Dodda@bentley.com','61288778805' WHERE NOT EXISTS (SELECT Name FROM Contact WHERE Name = 'Raj Dodda');</v>
      </c>
      <c r="T32" t="str">
        <f>contactsSQL('Master Table'!T32)</f>
        <v>INSERT INTO Contact (Name, Email, Phone) SELECT 'Raj Dodda','Raj.Dodda@bentley.com','61288778805' WHERE NOT EXISTS (SELECT Name FROM Contact WHERE Name = 'Raj Dodda');</v>
      </c>
      <c r="U32" t="str">
        <f>contactsSQL('Master Table'!U32)</f>
        <v>INSERT INTO Contact (Name, Email, Phone) SELECT 'Raj Dodda','Raj.Dodda@bentley.com','61288778805' WHERE NOT EXISTS (SELECT Name FROM Contact WHERE Name = 'Raj Dodda');</v>
      </c>
      <c r="V32" t="str">
        <f>contactsSQL('Master Table'!V32)</f>
        <v>INSERT INTO Contact (Name, Email, Phone) SELECT 'Raj Dodda','Raj.Dodda@bentley.com','61288778805' WHERE NOT EXISTS (SELECT Name FROM Contact WHERE Name = 'Raj Dodda');</v>
      </c>
      <c r="W32" t="str">
        <f>contactsSQL('Master Table'!W32)</f>
        <v>INSERT INTO Contact (Name, Email, Phone) SELECT 'Raj Dodda','Raj.Dodda@bentley.com','61288778805' WHERE NOT EXISTS (SELECT Name FROM Contact WHERE Name = 'Raj Dodda');</v>
      </c>
      <c r="X32" t="str">
        <f>contactsSQL('Master Table'!X32)</f>
        <v>INSERT INTO Contact (Name, Email, Phone) SELECT 'Sai Selvakumar','Sai.Selvakumar@bentley.com','61396978657' WHERE NOT EXISTS (SELECT Name FROM Contact WHERE Name = 'Sai Selvakumar');</v>
      </c>
      <c r="Y32" t="str">
        <f>contactsSQL('Master Table'!Y32)</f>
        <v>INSERT INTO Contact (Name, Email, Phone) SELECT 'Sai Selvakumar','Sai.Selvakumar@bentley.com','61396978657' WHERE NOT EXISTS (SELECT Name FROM Contact WHERE Name = 'Sai Selvakumar');</v>
      </c>
      <c r="Z32" t="str">
        <f>contactsSQL('Master Table'!Z32)</f>
        <v>INSERT INTO Contact (Name, Email, Phone) SELECT 'Sai Selvakumar','Sai.Selvakumar@bentley.com','61396978657' WHERE NOT EXISTS (SELECT Name FROM Contact WHERE Name = 'Sai Selvakumar');</v>
      </c>
      <c r="AA32" t="str">
        <f>contactsSQL('Master Table'!AA32)</f>
        <v>INSERT INTO Contact (Name, Email, Phone) SELECT 'Sai Selvakumar','Sai.Selvakumar@bentley.com','61396978657' WHERE NOT EXISTS (SELECT Name FROM Contact WHERE Name = 'Sai Selvakumar');</v>
      </c>
      <c r="AB32" t="str">
        <f>contactsSQL('Master Table'!AB32)</f>
        <v>INSERT INTO Contact (Name, Email, Phone) SELECT 'Sai Selvakumar','Sai.Selvakumar@bentley.com','61396978657' WHERE NOT EXISTS (SELECT Name FROM Contact WHERE Name = 'Sai Selvakumar');</v>
      </c>
      <c r="AC32" t="str">
        <f>contactsSQL('Master Table'!AC32)</f>
        <v>INSERT INTO Contact (Name, Email, Phone) SELECT 'Sai Selvakumar','Sai.Selvakumar@bentley.com','61396978657' WHERE NOT EXISTS (SELECT Name FROM Contact WHERE Name = 'Sai Selvakumar');</v>
      </c>
      <c r="AD32" t="str">
        <f>contactsSQL('Master Table'!AD32)</f>
        <v>INSERT INTO Contact (Name, Email, Phone) SELECT 'Sai Selvakumar','Sai.Selvakumar@bentley.com','61396978657' WHERE NOT EXISTS (SELECT Name FROM Contact WHERE Name = 'Sai Selvakumar');</v>
      </c>
      <c r="AE32" t="str">
        <f>contactsSQL('Master Table'!AE32)</f>
        <v>INSERT INTO Contact (Name, Email, Phone) SELECT 'Sai Selvakumar','Sai.Selvakumar@bentley.com','61396978657' WHERE NOT EXISTS (SELECT Name FROM Contact WHERE Name = 'Sai Selvakumar');</v>
      </c>
      <c r="AF32" t="str">
        <f>contactsSQL('Master Table'!AF32)</f>
        <v>INSERT INTO Contact (Name, Email, Phone) SELECT 'Sai Selvakumar','Sai.Selvakumar@bentley.com','61396978657' WHERE NOT EXISTS (SELECT Name FROM Contact WHERE Name = 'Sai Selvakumar');</v>
      </c>
      <c r="AG32" t="str">
        <f>contactsSQL('Master Table'!AG32)</f>
        <v>INSERT INTO Contact (Name, Email, Phone) SELECT 'Sai Selvakumar','Sai.Selvakumar@bentley.com','61396978657' WHERE NOT EXISTS (SELECT Name FROM Contact WHERE Name = 'Sai Selvakumar');</v>
      </c>
      <c r="AH32" t="str">
        <f>contactsSQL('Master Table'!AH32)</f>
        <v>INSERT INTO Contact (Name, Email, Phone) SELECT 'Sai Selvakumar','Sai.Selvakumar@bentley.com','61396978657' WHERE NOT EXISTS (SELECT Name FROM Contact WHERE Name = 'Sai Selvakumar');</v>
      </c>
      <c r="AI32" t="str">
        <f>contactsSQL('Master Table'!AI32)</f>
        <v>INSERT INTO Contact (Name, Email, Phone) SELECT 'Sai Selvakumar','Sai.Selvakumar@bentley.com','61396978657' WHERE NOT EXISTS (SELECT Name FROM Contact WHERE Name = 'Sai Selvakumar');</v>
      </c>
      <c r="AJ32" t="str">
        <f>contactsSQL('Master Table'!AJ32)</f>
        <v>INSERT INTO Contact (Name, Email, Phone) SELECT 'Freek Verhoef','Freek.Verhoef@bentley.com','27794964032' WHERE NOT EXISTS (SELECT Name FROM Contact WHERE Name = 'Freek Verhoef');</v>
      </c>
      <c r="AK32" t="str">
        <f>contactsSQL('Master Table'!AK32)</f>
        <v>INSERT INTO Contact (Name, Email, Phone) SELECT 'Uma Umakhanthan','Uma.Umakhanthan@bentley.com','61396978604' WHERE NOT EXISTS (SELECT Name FROM Contact WHERE Name = 'Uma Umakhanthan');</v>
      </c>
      <c r="AL32" t="str">
        <f>contactsSQL('Master Table'!AL32)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M32" t="str">
        <f>contactsSQL('Master Table'!AM32)</f>
        <v>INSERT INTO Contact (Name, Email, Phone) SELECT 'Gaurav Malik','Gaurav.Malik@bentley.com','91' WHERE NOT EXISTS (SELECT Name FROM Contact WHERE Name = 'Gaurav Malik');INSERT INTO Contact (Name, Email, Phone) SELECT 'Suneet Manjavkar','Suneet.Manjavkar@bentley.com','1149021128' WHERE NOT EXISTS (SELECT Name FROM Contact WHERE Name = 'Suneet Manjavkar');</v>
      </c>
      <c r="AN32" t="str">
        <f>contactsSQL('Master Table'!AN32)</f>
        <v>INSERT INTO Contact (Name, Email, Phone) SELECT 'Ton de Vries','Ton.deVries@bentley.com','16104584191' WHERE NOT EXISTS (SELECT Name FROM Contact WHERE Name = 'Ton de Vries');INSERT INTO Contact (Name, Email, Phone) SELECT 'Frederick Boersma','Frederik.Boersma@bentley.com','31235560624' WHERE NOT EXISTS (SELECT Name FROM Contact WHERE Name = 'Frederick Boersma');INSERT INTO Contact (Name, Email, Phone) SELECT 'Jim Lucas','Jim.Lucas@bentley.com','15128152007' WHERE NOT EXISTS (SELECT Name FROM Contact WHERE Name = 'Jim Lucas');</v>
      </c>
      <c r="AO32" t="str">
        <f>contactsSQL('Master Table'!AO32)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32" t="str">
        <f>contactsSQL('Master Table'!AP32)</f>
        <v>INSERT INTO Contact (Name, Email, Phone) SELECT 'Vincent Ng','Vincent.Ng@bentley.com','60379403432' WHERE NOT EXISTS (SELECT Name FROM Contact WHERE Name = 'Vincent Ng');</v>
      </c>
      <c r="AQ32" t="str">
        <f>contactsSQL('Master Table'!AQ32)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32" t="str">
        <f>contactsSQL('Master Table'!AR32)</f>
        <v>INSERT INTO Contact (Name, Email, Phone) SELECT 'Dan Vogen','Dan.Vogen@bentley.com','16309816500' WHERE NOT EXISTS (SELECT Name FROM Contact WHERE Name = 'Dan Vogen');</v>
      </c>
      <c r="AS32" t="str">
        <f>contactsSQL('Master Table'!AS32)</f>
        <v>INSERT INTO Contact (Name, Email, Phone) SELECT 'Uma Umakhanthan','Uma.Umakhanthan@bentley.com','61396978604' WHERE NOT EXISTS (SELECT Name FROM Contact WHERE Name = 'Uma Umakhanthan');</v>
      </c>
      <c r="AT32" t="str">
        <f>contactsSQL('Master Table'!AT32)</f>
        <v>INSERT INTO Contact (Name, Email, Phone) SELECT 'Ben Witter','Ben.Witter@bentley.com','12676642491' WHERE NOT EXISTS (SELECT Name FROM Contact WHERE Name = 'Ben Witter');</v>
      </c>
      <c r="AU32" t="str">
        <f>contactsSQL('Master Table'!AU32)</f>
        <v>INSERT INTO Contact (Name, Email, Phone) SELECT 'Eric Crivella','Eric.Crivella@bentley.com','18322172802' WHERE NOT EXISTS (SELECT Name FROM Contact WHERE Name = 'Eric Crivella');</v>
      </c>
      <c r="AV32" t="str">
        <f>contactsSQL('Master Table'!AV32)</f>
        <v>INSERT INTO Contact (Name, Email, Phone) SELECT 'Paul King','Paul.King@bentley.com','61288778810' WHERE NOT EXISTS (SELECT Name FROM Contact WHERE Name = 'Paul King');</v>
      </c>
      <c r="AW32" t="str">
        <f>contactsSQL('Master Table'!AW32)</f>
        <v>INSERT INTO Contact (Name, Email, Phone) SELECT 'Paul King','Paul.King@bentley.com','61288778810' WHERE NOT EXISTS (SELECT Name FROM Contact WHERE Name = 'Paul King');</v>
      </c>
      <c r="AX32" t="str">
        <f>contactsSQL('Master Table'!AX32)</f>
        <v>INSERT INTO Contact (Name, Email, Phone) SELECT 'Paul King','Paul.King@bentley.com','61288778810' WHERE NOT EXISTS (SELECT Name FROM Contact WHERE Name = 'Paul King');</v>
      </c>
      <c r="AY32" t="str">
        <f>contactsSQL('Master Table'!AY32)</f>
        <v>INSERT INTO Contact (Name, Email, Phone) SELECT 'Paul King','Paul.King@bentley.com','61288778810' WHERE NOT EXISTS (SELECT Name FROM Contact WHERE Name = 'Paul King');</v>
      </c>
      <c r="AZ32" t="str">
        <f>contactsSQL('Master Table'!AZ32)</f>
        <v>INSERT INTO Contact (Name, Email, Phone) SELECT 'Paul King','Paul.King@bentley.com','61288778810' WHERE NOT EXISTS (SELECT Name FROM Contact WHERE Name = 'Paul King');</v>
      </c>
      <c r="BA32" t="str">
        <f>contactsSQL('Master Table'!BA32)</f>
        <v>INSERT INTO Contact (Name, Email, Phone) SELECT 'Paul King','Paul.King@bentley.com','61288778810' WHERE NOT EXISTS (SELECT Name FROM Contact WHERE Name = 'Paul King');</v>
      </c>
      <c r="BB32" t="str">
        <f>contactsSQL('Master Table'!BB32)</f>
        <v>INSERT INTO Contact (Name, Email, Phone) SELECT 'Paul King','Paul.King@bentley.com','61288778810' WHERE NOT EXISTS (SELECT Name FROM Contact WHERE Name = 'Paul King');</v>
      </c>
      <c r="BC32" t="str">
        <f>contactsSQL('Master Table'!BC32)</f>
        <v>INSERT INTO Contact (Name, Email, Phone) SELECT 'Paul King','Paul.King@bentley.com','61288778810' WHERE NOT EXISTS (SELECT Name FROM Contact WHERE Name = 'Paul King');</v>
      </c>
      <c r="BD32" t="str">
        <f>contactsSQL('Master Table'!BD32)</f>
        <v>INSERT INTO Contact (Name, Email, Phone) SELECT 'Pradip Maity','Pradip.Maity@bentley.com','6566926576' WHERE NOT EXISTS (SELECT Name FROM Contact WHERE Name = 'Pradip Maity');</v>
      </c>
      <c r="BE32" t="str">
        <f>contactsSQL('Master Table'!BE32)</f>
        <v>INSERT INTO Contact (Name, Email, Phone) SELECT 'Eric Crivella','Eric.Crivella@bentley.com','18322172802' WHERE NOT EXISTS (SELECT Name FROM Contact WHERE Name = 'Eric Crivella');</v>
      </c>
      <c r="BF32" t="str">
        <f>contactsSQL('Master Table'!BF32)</f>
        <v>INSERT INTO Contact (Name, Email, Phone) SELECT 'Mark Cranitch','Mark.Cranitch@bentley.com','61732704341' WHERE NOT EXISTS (SELECT Name FROM Contact WHERE Name = 'Mark Cranitch');</v>
      </c>
      <c r="BG32" t="str">
        <f>contactsSQL('Master Table'!BG32)</f>
        <v>INSERT INTO Contact (Name, Email, Phone) SELECT 'Paul King','Paul.King@bentley.com','61288778810' WHERE NOT EXISTS (SELECT Name FROM Contact WHERE Name = 'Paul King');</v>
      </c>
      <c r="BH32" t="str">
        <f>contactsSQL('Master Table'!BH32)</f>
        <v>INSERT INTO Contact (Name, Email, Phone) SELECT 'Paul King','Paul.King@bentley.com','61288778810' WHERE NOT EXISTS (SELECT Name FROM Contact WHERE Name = 'Paul King');</v>
      </c>
      <c r="BI32" t="str">
        <f>contactsSQL('Master Table'!BI32)</f>
        <v>INSERT INTO Contact (Name, Email, Phone) SELECT 'Paul King','Paul.King@bentley.com','61288778810' WHERE NOT EXISTS (SELECT Name FROM Contact WHERE Name = 'Paul King');</v>
      </c>
      <c r="BJ32" t="str">
        <f>contactsSQL('Master Table'!BJ32)</f>
        <v>INSERT INTO Contact (Name, Email, Phone) SELECT 'Paul King','Paul.King@bentley.com','61288778810' WHERE NOT EXISTS (SELECT Name FROM Contact WHERE Name = 'Paul King');</v>
      </c>
      <c r="BK32" t="str">
        <f>contactsSQL('Master Table'!BK32)</f>
        <v>INSERT INTO Contact (Name, Email, Phone) SELECT 'Paul King','Paul.King@bentley.com','61288778810' WHERE NOT EXISTS (SELECT Name FROM Contact WHERE Name = 'Paul King');</v>
      </c>
      <c r="BL32" t="str">
        <f>contactsSQL('Master Table'!BL32)</f>
        <v>INSERT INTO Contact (Name, Email, Phone) SELECT 'Paul King','Paul.King@bentley.com','61288778810' WHERE NOT EXISTS (SELECT Name FROM Contact WHERE Name = 'Paul King');</v>
      </c>
    </row>
    <row r="33" spans="3:64" x14ac:dyDescent="0.25">
      <c r="C33" t="str">
        <f>contactsSQL('Master Table'!C33)</f>
        <v>INSERT INTO Contact (Name, Email, Phone) SELECT 'Carlos Aguera','Carlos.Aguera@bentley.com','442078610973' WHERE NOT EXISTS (SELECT Name FROM Contact WHERE Name = 'Carlos Aguera');</v>
      </c>
      <c r="D33" t="str">
        <f>contactsSQL('Master Table'!D33)</f>
        <v>INSERT INTO Contact (Name, Email, Phone) SELECT 'Allen Adams','Allen.Adams@bentley.com','17604313610' WHERE NOT EXISTS (SELECT Name FROM Contact WHERE Name = 'Allen Adams');</v>
      </c>
      <c r="E33" t="str">
        <f>contactsSQL('Master Table'!E33)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33" t="str">
        <f>contactsSQL('Master Table'!F33)</f>
        <v>INSERT INTO Contact (Name, Email, Phone) SELECT 'Parvinder Jhita','Parvinder.Jhita@bentley.com','1' WHERE NOT EXISTS (SELECT Name FROM Contact WHERE Name = 'Parvinder Jhita');</v>
      </c>
      <c r="G33" t="str">
        <f>contactsSQL('Master Table'!G33)</f>
        <v>INSERT INTO Contact (Name, Email, Phone) SELECT 'Pat Couser','Pat.Couser@bentley.com','' WHERE NOT EXISTS (SELECT Name FROM Contact WHERE Name = 'Pat Couser');</v>
      </c>
      <c r="H33" t="str">
        <f>contactsSQL('Master Table'!H33)</f>
        <v>INSERT INTO Contact (Name, Email, Phone) SELECT 'Georgina Maldonado','Georgina.Maldonado@bentley.com','7133608369' WHERE NOT EXISTS (SELECT Name FROM Contact WHERE Name = 'Georgina Maldonado');</v>
      </c>
      <c r="I33" t="str">
        <f>contactsSQL('Master Table'!I33)</f>
        <v>INSERT INTO Contact (Name, Email, Phone) SELECT 'Gregor Strekelj','Gregor.Strekelj@bentley.com','4331682153165' WHERE NOT EXISTS (SELECT Name FROM Contact WHERE Name = 'Gregor Strekelj');</v>
      </c>
      <c r="J33" t="str">
        <f>contactsSQL('Master Table'!J33)</f>
        <v>INSERT INTO Contact (Name, Email, Phone) SELECT 'Xin Luo','Xin.Luo@bentley.com','19543439359' WHERE NOT EXISTS (SELECT Name FROM Contact WHERE Name = 'Xin Luo');</v>
      </c>
      <c r="K33" t="str">
        <f>contactsSQL('Master Table'!K33)</f>
        <v>INSERT INTO Contact (Name, Email, Phone) SELECT 'Sri Kanneganti','Sri.Kanneganti@bentley.com','19543439325' WHERE NOT EXISTS (SELECT Name FROM Contact WHERE Name = 'Sri Kanneganti');</v>
      </c>
      <c r="L33" t="str">
        <f>contactsSQL('Master Table'!L33)</f>
        <v>INSERT INTO Contact (Name, Email, Phone) SELECT 'Bill Beyer','Bill.Beyer@bentley.com','18166667568' WHERE NOT EXISTS (SELECT Name FROM Contact WHERE Name = 'Bill Beyer');</v>
      </c>
      <c r="M33" t="str">
        <f>contactsSQL('Master Table'!M33)</f>
        <v>INSERT INTO Contact (Name, Email, Phone) SELECT 'David Settlemeyer','David.Settlemyer@bentley.com','16103214610' WHERE NOT EXISTS (SELECT Name FROM Contact WHERE Name = 'David Settlemeyer');</v>
      </c>
      <c r="N33" t="str">
        <f>contactsSQL('Master Table'!N33)</f>
        <v>INSERT INTO Contact (Name, Email, Phone) SELECT 'Andy Smith','Andy.Smith@bentley.com','7046630319' WHERE NOT EXISTS (SELECT Name FROM Contact WHERE Name = 'Andy Smith');</v>
      </c>
      <c r="O33" t="str">
        <f>contactsSQL('Master Table'!O33)</f>
        <v>INSERT INTO Contact (Name, Email, Phone) SELECT 'Andy Smith','Andy.Smith@bentley.com','7046630319' WHERE NOT EXISTS (SELECT Name FROM Contact WHERE Name = 'Andy Smith');</v>
      </c>
      <c r="P33" t="str">
        <f>contactsSQL('Master Table'!P33)</f>
        <v>INSERT INTO Contact (Name, Email, Phone) SELECT 'Paul Demetriou','Paul.Demetriou@bentley.com','12088879204' WHERE NOT EXISTS (SELECT Name FROM Contact WHERE Name = 'Paul Demetriou');</v>
      </c>
      <c r="Q33" t="str">
        <f>contactsSQL('Master Table'!Q33)</f>
        <v>INSERT INTO Contact (Name, Email, Phone) SELECT 'Ian Rosam','Ian.Rosam@bentley.com','442078610313' WHERE NOT EXISTS (SELECT Name FROM Contact WHERE Name = 'Ian Rosam');</v>
      </c>
      <c r="R33" t="str">
        <f>contactsSQL('Master Table'!R33)</f>
        <v>INSERT INTO Contact (Name, Email, Phone) SELECT 'Ian Rosam','Ian.Rosam@bentley.com','442078610313' WHERE NOT EXISTS (SELECT Name FROM Contact WHERE Name = 'Ian Rosam');</v>
      </c>
      <c r="S33" t="str">
        <f>contactsSQL('Master Table'!S33)</f>
        <v>INSERT INTO Contact (Name, Email, Phone) SELECT 'Ian Rosam','Ian.Rosam@bentley.com','442078610313' WHERE NOT EXISTS (SELECT Name FROM Contact WHERE Name = 'Ian Rosam');</v>
      </c>
      <c r="T33" t="str">
        <f>contactsSQL('Master Table'!T33)</f>
        <v>INSERT INTO Contact (Name, Email, Phone) SELECT 'Kivanc Karakas','Kivanc.Karakas@bentley.com','442078610339' WHERE NOT EXISTS (SELECT Name FROM Contact WHERE Name = 'Kivanc Karakas');</v>
      </c>
      <c r="U33" t="str">
        <f>contactsSQL('Master Table'!U33)</f>
        <v>INSERT INTO Contact (Name, Email, Phone) SELECT 'Ian Rosam','Ian.Rosam@bentley.com','442078610313' WHERE NOT EXISTS (SELECT Name FROM Contact WHERE Name = 'Ian Rosam');</v>
      </c>
      <c r="V33" t="str">
        <f>contactsSQL('Master Table'!V33)</f>
        <v>INSERT INTO Contact (Name, Email, Phone) SELECT 'Francois Valois','Francois.Valois@bentley.com','15817817522' WHERE NOT EXISTS (SELECT Name FROM Contact WHERE Name = 'Francois Valois');</v>
      </c>
      <c r="W33" t="str">
        <f>contactsSQL('Master Table'!W33)</f>
        <v>INSERT INTO Contact (Name, Email, Phone) SELECT 'Nicolas Loubier','Nicolas.Loubier@bentley.com','15817817567' WHERE NOT EXISTS (SELECT Name FROM Contact WHERE Name = 'Nicolas Loubier');</v>
      </c>
      <c r="X33" t="str">
        <f>contactsSQL('Master Table'!X33)</f>
        <v>INSERT INTO Contact (Name, Email, Phone) SELECT 'Adnan Ulhaq','Adnan.Ulhaq@bentley.com','92512078422' WHERE NOT EXISTS (SELECT Name FROM Contact WHERE Name = 'Adnan Ulhaq');</v>
      </c>
      <c r="Y33" t="str">
        <f>contactsSQL('Master Table'!Y33)</f>
        <v>INSERT INTO Contact (Name, Email, Phone) SELECT 'Tim Lawrence','Tim.Lawrence@bentley.com','15873158588' WHERE NOT EXISTS (SELECT Name FROM Contact WHERE Name = 'Tim Lawrence');</v>
      </c>
      <c r="Z33" t="str">
        <f>contactsSQL('Master Table'!Z33)</f>
        <v>INSERT INTO Contact (Name, Email, Phone) SELECT 'Abbas Ali','','16104583160' WHERE NOT EXISTS (SELECT Name FROM Contact WHERE Name = 'Abbas Ali');</v>
      </c>
      <c r="AA33" t="str">
        <f>contactsSQL('Master Table'!AA33)</f>
        <v>INSERT INTO Contact (Name, Email, Phone) SELECT 'Rob Harper','Rob.Harper@bentley.com','17137303385' WHERE NOT EXISTS (SELECT Name FROM Contact WHERE Name = 'Rob Harper');</v>
      </c>
      <c r="AB33" t="str">
        <f>contactsSQL('Master Table'!AB33)</f>
        <v>INSERT INTO Contact (Name, Email, Phone) SELECT 'Alain Beland','Alain.Beland@bentley.com','14188802022' WHERE NOT EXISTS (SELECT Name FROM Contact WHERE Name = 'Alain Beland');</v>
      </c>
      <c r="AC33" t="str">
        <f>contactsSQL('Master Table'!AC33)</f>
        <v>INSERT INTO Contact (Name, Email, Phone) SELECT 'Tim Lawrence','Tim.Lawrence@bentley.com','15873158588' WHERE NOT EXISTS (SELECT Name FROM Contact WHERE Name = 'Tim Lawrence');</v>
      </c>
      <c r="AD33" t="str">
        <f>contactsSQL('Master Table'!AD33)</f>
        <v>INSERT INTO Contact (Name, Email, Phone) SELECT 'Benoit Frederique','Benoit.Fredericque@bentley.com','' WHERE NOT EXISTS (SELECT Name FROM Contact WHERE Name = 'Benoit Frederique');</v>
      </c>
      <c r="AE33" t="str">
        <f>contactsSQL('Master Table'!AE33)</f>
        <v>INSERT INTO Contact (Name, Email, Phone) SELECT 'Benoit Frederique','Benoit.Fredericque@bentley.com','' WHERE NOT EXISTS (SELECT Name FROM Contact WHERE Name = 'Benoit Frederique');</v>
      </c>
      <c r="AF33" t="str">
        <f>contactsSQL('Master Table'!AF33)</f>
        <v>INSERT INTO Contact (Name, Email, Phone) SELECT 'Benoit Frederique','Benoit.Fredericque@bentley.com','' WHERE NOT EXISTS (SELECT Name FROM Contact WHERE Name = 'Benoit Frederique');</v>
      </c>
      <c r="AG33" t="str">
        <f>contactsSQL('Master Table'!AG33)</f>
        <v>INSERT INTO Contact (Name, Email, Phone) SELECT 'Benoit Frederique','Benoit.Fredericque@bentley.com','' WHERE NOT EXISTS (SELECT Name FROM Contact WHERE Name = 'Benoit Frederique');</v>
      </c>
      <c r="AH33" t="str">
        <f>contactsSQL('Master Table'!AH33)</f>
        <v>INSERT INTO Contact (Name, Email, Phone) SELECT 'Jim Barr','Jim.Barr@bentley.com','12567241520' WHERE NOT EXISTS (SELECT Name FROM Contact WHERE Name = 'Jim Barr');</v>
      </c>
      <c r="AI33" t="str">
        <f>contactsSQL('Master Table'!AI33)</f>
        <v>INSERT INTO Contact (Name, Email, Phone) SELECT 'Slavica Bozic','Slavica.Bozic@bentley.com','16302338281' WHERE NOT EXISTS (SELECT Name FROM Contact WHERE Name = 'Slavica Bozic');</v>
      </c>
      <c r="AJ33" t="str">
        <f>contactsSQL('Master Table'!AJ33)</f>
        <v>INSERT INTO Contact (Name, Email, Phone) SELECT 'Jim Newman','Jim.Newman@bentley.com','17044332566' WHERE NOT EXISTS (SELECT Name FROM Contact WHERE Name = 'Jim Newman');</v>
      </c>
      <c r="AK33" t="str">
        <f>contactsSQL('Master Table'!AK33)</f>
        <v>INSERT INTO Contact (Name, Email, Phone) SELECT 'Aaron Beazley','Aaron.Beazley@bentley.com','12898162642' WHERE NOT EXISTS (SELECT Name FROM Contact WHERE Name = 'Aaron Beazley');</v>
      </c>
      <c r="AL33" t="str">
        <f>contactsSQL('Master Table'!AL33)</f>
        <v>INSERT INTO Contact (Name, Email, Phone) SELECT 'Gijsbert Noordam','Gijsbert.Noordam@bentley.com','31235560626' WHERE NOT EXISTS (SELECT Name FROM Contact WHERE Name = 'Gijsbert Noordam');</v>
      </c>
      <c r="AM33" t="str">
        <f>contactsSQL('Master Table'!AM33)</f>
        <v>INSERT INTO Contact (Name, Email, Phone) SELECT 'Gregg Herrin','Gregg.Herrin@bentley.com','16104583188' WHERE NOT EXISTS (SELECT Name FROM Contact WHERE Name = 'Gregg Herrin');</v>
      </c>
      <c r="AN33" t="str">
        <f>contactsSQL('Master Table'!AN33)</f>
        <v>INSERT INTO Contact (Name, Email, Phone) SELECT 'Gijsbert Noordam','Gijsbert.Noordam@bentley.com','31235560626' WHERE NOT EXISTS (SELECT Name FROM Contact WHERE Name = 'Gijsbert Noordam');</v>
      </c>
      <c r="AO33" t="str">
        <f>contactsSQL('Master Table'!AO33)</f>
        <v>INSERT INTO Contact (Name, Email, Phone) SELECT 'Russell Page','Russell.Page@bentley.com','13032210689' WHERE NOT EXISTS (SELECT Name FROM Contact WHERE Name = 'Russell Page');</v>
      </c>
      <c r="AP33" t="str">
        <f>contactsSQL('Master Table'!AP33)</f>
        <v>INSERT INTO Contact (Name, Email, Phone) SELECT 'Mal Sharkey','Mal.Sharkey@bentley.com','61396978623' WHERE NOT EXISTS (SELECT Name FROM Contact WHERE Name = 'Mal Sharkey');</v>
      </c>
      <c r="AQ33" t="str">
        <f>contactsSQL('Master Table'!AQ33)</f>
        <v>INSERT INTO Contact (Name, Email, Phone) SELECT 'Aaron Beazily','Aaron.Beazley@bentley.com','12898162642' WHERE NOT EXISTS (SELECT Name FROM Contact WHERE Name = 'Aaron Beazily');</v>
      </c>
      <c r="AR33" t="str">
        <f>contactsSQL('Master Table'!AR33)</f>
        <v>INSERT INTO Contact (Name, Email, Phone) SELECT 'Jim Scott','Jim.Scott@bentley.com','13039670864' WHERE NOT EXISTS (SELECT Name FROM Contact WHERE Name = 'Jim Scott');</v>
      </c>
      <c r="AS33" t="str">
        <f>contactsSQL('Master Table'!AS33)</f>
        <v>INSERT INTO Contact (Name, Email, Phone) SELECT 'Duncan Rodger','Duncan.Rodger@bentley.com','441349865554' WHERE NOT EXISTS (SELECT Name FROM Contact WHERE Name = 'Duncan Rodger');</v>
      </c>
      <c r="AT33" t="str">
        <f>contactsSQL('Master Table'!AT33)</f>
        <v>INSERT INTO Contact (Name, Email, Phone) SELECT 'Taylor Gilmore','Taylor.Gilmore@bentley.com','14126811521' WHERE NOT EXISTS (SELECT Name FROM Contact WHERE Name = 'Taylor Gilmore');</v>
      </c>
      <c r="AU33" t="str">
        <f>contactsSQL('Master Table'!AU33)</f>
        <v>INSERT INTO Contact (Name, Email, Phone) SELECT 'Paolomee Udani','Paolomee.Udani@bentley.com','19252745107' WHERE NOT EXISTS (SELECT Name FROM Contact WHERE Name = 'Paolomee Udani');</v>
      </c>
      <c r="AV33" t="str">
        <f>contactsSQL('Master Table'!AV33)</f>
        <v>INSERT INTO Contact (Name, Email, Phone) SELECT 'Bill McNamara','Bill.McNamara@bentley.com','16104587602' WHERE NOT EXISTS (SELECT Name FROM Contact WHERE Name = 'Bill McNamara');</v>
      </c>
      <c r="AW33" t="str">
        <f>contactsSQL('Master Table'!AW33)</f>
        <v>INSERT INTO Contact (Name, Email, Phone) SELECT 'Bill McNamara','Bill.McNamara@bentley.com','16104587602' WHERE NOT EXISTS (SELECT Name FROM Contact WHERE Name = 'Bill McNamara');</v>
      </c>
      <c r="AX33" t="str">
        <f>contactsSQL('Master Table'!AX33)</f>
        <v>INSERT INTO Contact (Name, Email, Phone) SELECT 'Bill McNamara','Bill.McNamara@bentley.com','16104587602' WHERE NOT EXISTS (SELECT Name FROM Contact WHERE Name = 'Bill McNamara');</v>
      </c>
      <c r="AY33" t="str">
        <f>contactsSQL('Master Table'!AY33)</f>
        <v>INSERT INTO Contact (Name, Email, Phone) SELECT 'Bill McNamara','Bill.McNamara@bentley.com','16104587602' WHERE NOT EXISTS (SELECT Name FROM Contact WHERE Name = 'Bill McNamara');</v>
      </c>
      <c r="AZ33" t="str">
        <f>contactsSQL('Master Table'!AZ33)</f>
        <v>INSERT INTO Contact (Name, Email, Phone) SELECT 'Bill McNamara','Bill.McNamara@bentley.com','16104587602' WHERE NOT EXISTS (SELECT Name FROM Contact WHERE Name = 'Bill McNamara');</v>
      </c>
      <c r="BA33" t="str">
        <f>contactsSQL('Master Table'!BA33)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33" t="str">
        <f>contactsSQL('Master Table'!BB33)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33" t="str">
        <f>contactsSQL('Master Table'!BC33)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33" t="str">
        <f>contactsSQL('Master Table'!BD33)</f>
        <v>INSERT INTO Contact (Name, Email, Phone) SELECT 'Joe Granville','Joe.Granville@bentley.com','16104582951' WHERE NOT EXISTS (SELECT Name FROM Contact WHERE Name = 'Joe Granville');</v>
      </c>
      <c r="BE33" t="str">
        <f>contactsSQL('Master Table'!BE33)</f>
        <v>INSERT INTO Contact (Name, Email, Phone) SELECT 'Beth Buerger','Beth.Buerger@bentley.com','17205283380' WHERE NOT EXISTS (SELECT Name FROM Contact WHERE Name = 'Beth Buerger');</v>
      </c>
      <c r="BF33" t="str">
        <f>contactsSQL('Master Table'!BF33)</f>
        <v>INSERT INTO Contact (Name, Email, Phone) SELECT 'Sam Stuart','Sam.Stuart@bentley.com','' WHERE NOT EXISTS (SELECT Name FROM Contact WHERE Name = 'Sam Stuart');</v>
      </c>
      <c r="BG33" t="str">
        <f>contactsSQL('Master Table'!BG33)</f>
        <v>INSERT INTO Contact (Name, Email, Phone) SELECT 'Rimantas Varanavicius','imantas.Varanavicius@bentley.com','37052398145' WHERE NOT EXISTS (SELECT Name FROM Contact WHERE Name = 'Rimantas Varanavicius');</v>
      </c>
      <c r="BH33" t="str">
        <f>contactsSQL('Master Table'!BH33)</f>
        <v>INSERT INTO Contact (Name, Email, Phone) SELECT 'Jo Wright','Jo.Wright@bentley.com','12569701111' WHERE NOT EXISTS (SELECT Name FROM Contact WHERE Name = 'Jo Wright');</v>
      </c>
      <c r="BI33" t="str">
        <f>contactsSQL('Master Table'!BI33)</f>
        <v>INSERT INTO Contact (Name, Email, Phone) SELECT 'Jo Wright','Jo.Wright@bentley.com','12569701111' WHERE NOT EXISTS (SELECT Name FROM Contact WHERE Name = 'Jo Wright');</v>
      </c>
      <c r="BJ33" t="str">
        <f>contactsSQL('Master Table'!BJ33)</f>
        <v>INSERT INTO Contact (Name, Email, Phone) SELECT 'Jo Wright','Jo.Wright@bentley.com','12569701111' WHERE NOT EXISTS (SELECT Name FROM Contact WHERE Name = 'Jo Wright');</v>
      </c>
      <c r="BK33" t="str">
        <f>contactsSQL('Master Table'!BK33)</f>
        <v>INSERT INTO Contact (Name, Email, Phone) SELECT 'Jo Wright','Jo.Wright@bentley.com','12569701111' WHERE NOT EXISTS (SELECT Name FROM Contact WHERE Name = 'Jo Wright');</v>
      </c>
      <c r="BL33" t="str">
        <f>contactsSQL('Master Table'!BL33)</f>
        <v>INSERT INTO Contact (Name, Email, Phone) SELECT 'Jo Wright','Jo.Wright@bentley.com','12569701111' WHERE NOT EXISTS (SELECT Name FROM Contact WHERE Name = 'Jo Wright');</v>
      </c>
    </row>
    <row r="34" spans="3:64" x14ac:dyDescent="0.25">
      <c r="C34" t="str">
        <f>contactsSQL('Master Table'!C34)</f>
        <v>INSERT INTO Contact (Name, Email, Phone) SELECT 'Madhan Elumalai','Madhan.Elumalai@bentley.com','6566926578' WHERE NOT EXISTS (SELECT Name FROM Contact WHERE Name = 'Madhan Elumalai');</v>
      </c>
      <c r="D34" t="str">
        <f>contactsSQL('Master Table'!D34)</f>
        <v>INSERT INTO Contact (Name, Email, Phone) SELECT 'Wentao Zheng','Wentao.Zhang@bentley.com','61288778808' WHERE NOT EXISTS (SELECT Name FROM Contact WHERE Name = 'Wentao Zheng');</v>
      </c>
      <c r="E34" t="str">
        <f>contactsSQL('Master Table'!E34)</f>
        <v/>
      </c>
      <c r="F34" t="str">
        <f>contactsSQL('Master Table'!F34)</f>
        <v>INSERT INTO Contact (Name, Email, Phone) SELECT 'Rupesh Kumar','Rupesh.Kumar@bentley.com','160379403439' WHERE NOT EXISTS (SELECT Name FROM Contact WHERE Name = 'Rupesh Kumar');</v>
      </c>
      <c r="G34" t="str">
        <f>contactsSQL('Master Table'!G34)</f>
        <v>INSERT INTO Contact (Name, Email, Phone) SELECT 'Ian Sevilla','Ian.Sevilla@bentley.com','61894311511' WHERE NOT EXISTS (SELECT Name FROM Contact WHERE Name = 'Ian Sevilla');</v>
      </c>
      <c r="H34" t="str">
        <f>contactsSQL('Master Table'!H34)</f>
        <v>INSERT INTO Contact (Name, Email, Phone) SELECT 'Rupesh Kumar','Rupesh.Kumar@bentley.com','160379403439' WHERE NOT EXISTS (SELECT Name FROM Contact WHERE Name = 'Rupesh Kumar');</v>
      </c>
      <c r="I34" t="str">
        <f>contactsSQL('Master Table'!I34)</f>
        <v>INSERT INTO Contact (Name, Email, Phone) SELECT 'Ignacio Almagro','Ignacio.Almagro@bentley.com','19543439336' WHERE NOT EXISTS (SELECT Name FROM Contact WHERE Name = 'Ignacio Almagro');</v>
      </c>
      <c r="J34" t="str">
        <f>contactsSQL('Master Table'!J34)</f>
        <v>INSERT INTO Contact (Name, Email, Phone) SELECT 'Ignacio Almagro','Ignacio.Almagro@bentley.com','19543439336' WHERE NOT EXISTS (SELECT Name FROM Contact WHERE Name = 'Ignacio Almagro');</v>
      </c>
      <c r="K34" t="str">
        <f>contactsSQL('Master Table'!K34)</f>
        <v>INSERT INTO Contact (Name, Email, Phone) SELECT 'Ignacio Almagro','Ignacio.Almagro@bentley.com','19543439336' WHERE NOT EXISTS (SELECT Name FROM Contact WHERE Name = 'Ignacio Almagro');</v>
      </c>
      <c r="L34" t="str">
        <f>contactsSQL('Master Table'!L34)</f>
        <v>INSERT INTO Contact (Name, Email, Phone) SELECT 'Ignacio Almagro','Ignacio.Almagro@bentley.com','19543439336' WHERE NOT EXISTS (SELECT Name FROM Contact WHERE Name = 'Ignacio Almagro');</v>
      </c>
      <c r="M34" t="str">
        <f>contactsSQL('Master Table'!M34)</f>
        <v>INSERT INTO Contact (Name, Email, Phone) SELECT 'Chris Croucher','Chris.Croucher@bentley.com','16103214606' WHERE NOT EXISTS (SELECT Name FROM Contact WHERE Name = 'Chris Croucher');</v>
      </c>
      <c r="N34" t="str">
        <f>contactsSQL('Master Table'!N34)</f>
        <v>INSERT INTO Contact (Name, Email, Phone) SELECT 'Stuart Milne','Stuart.Milne@bentley.com','' WHERE NOT EXISTS (SELECT Name FROM Contact WHERE Name = 'Stuart Milne');</v>
      </c>
      <c r="O34" t="str">
        <f>contactsSQL('Master Table'!O34)</f>
        <v>INSERT INTO Contact (Name, Email, Phone) SELECT 'Steve Brown','Steve.Brown@bentley.com','44' WHERE NOT EXISTS (SELECT Name FROM Contact WHERE Name = 'Steve Brown');</v>
      </c>
      <c r="P34" t="str">
        <f>contactsSQL('Master Table'!P34)</f>
        <v>INSERT INTO Contact (Name, Email, Phone) SELECT 'Steve Brown','Steve.Brown@bentley.com','44' WHERE NOT EXISTS (SELECT Name FROM Contact WHERE Name = 'Steve Brown');</v>
      </c>
      <c r="Q34" t="str">
        <f>contactsSQL('Master Table'!Q34)</f>
        <v>INSERT INTO Contact (Name, Email, Phone) SELECT 'Dave Body','Dave.Body@bentley.com','61734107661' WHERE NOT EXISTS (SELECT Name FROM Contact WHERE Name = 'Dave Body');</v>
      </c>
      <c r="R34" t="str">
        <f>contactsSQL('Master Table'!R34)</f>
        <v>INSERT INTO Contact (Name, Email, Phone) SELECT 'Paul Cusack','Paul.Cusack@bentley.com','61288778807' WHERE NOT EXISTS (SELECT Name FROM Contact WHERE Name = 'Paul Cusack');</v>
      </c>
      <c r="S34" t="str">
        <f>contactsSQL('Master Table'!S34)</f>
        <v>INSERT INTO Contact (Name, Email, Phone) SELECT 'Alan Benger','Alan.Benger@bentley.com','61411864052' WHERE NOT EXISTS (SELECT Name FROM Contact WHERE Name = 'Alan Benger');</v>
      </c>
      <c r="T34" t="str">
        <f>contactsSQL('Master Table'!T34)</f>
        <v>INSERT INTO Contact (Name, Email, Phone) SELECT 'Paul Cusack','Paul.Cusack@bentley.com','61288778807' WHERE NOT EXISTS (SELECT Name FROM Contact WHERE Name = 'Paul Cusack');</v>
      </c>
      <c r="U34" t="str">
        <f>contactsSQL('Master Table'!U34)</f>
        <v>INSERT INTO Contact (Name, Email, Phone) SELECT 'Dave Body','Dave.Body@bentley.com','61734107661' WHERE NOT EXISTS (SELECT Name FROM Contact WHERE Name = 'Dave Body');</v>
      </c>
      <c r="V34" t="str">
        <f>contactsSQL('Master Table'!V34)</f>
        <v>INSERT INTO Contact (Name, Email, Phone) SELECT 'Kevin McDonald','Kevin.McDonald@bentley.com','12569701123' WHERE NOT EXISTS (SELECT Name FROM Contact WHERE Name = 'Kevin McDonald');</v>
      </c>
      <c r="W34" t="str">
        <f>contactsSQL('Master Table'!W34)</f>
        <v>INSERT INTO Contact (Name, Email, Phone) SELECT 'Ian Joyce','Ian.Joyce@bentley.com','442476260204' WHERE NOT EXISTS (SELECT Name FROM Contact WHERE Name = 'Ian Joyce');</v>
      </c>
      <c r="X34" t="str">
        <f>contactsSQL('Master Table'!X34)</f>
        <v>INSERT INTO Contact (Name, Email, Phone) SELECT 'Patrick Wicki','Patrick.Wicki@bentley.com','41792040786' WHERE NOT EXISTS (SELECT Name FROM Contact WHERE Name = 'Patrick Wicki');</v>
      </c>
      <c r="Y34" t="str">
        <f>contactsSQL('Master Table'!Y34)</f>
        <v>INSERT INTO Contact (Name, Email, Phone) SELECT 'Tim Lawrence','Tim.Lawrence@bentley.com','15873158588' WHERE NOT EXISTS (SELECT Name FROM Contact WHERE Name = 'Tim Lawrence');</v>
      </c>
      <c r="Z34" t="str">
        <f>contactsSQL('Master Table'!Z34)</f>
        <v>INSERT INTO Contact (Name, Email, Phone) SELECT 'Patrick Wicki','Patrick.Wicki@bentley.com','41792040786' WHERE NOT EXISTS (SELECT Name FROM Contact WHERE Name = 'Patrick Wicki');</v>
      </c>
      <c r="AA34" t="str">
        <f>contactsSQL('Master Table'!AA34)</f>
        <v>INSERT INTO Contact (Name, Email, Phone) SELECT 'Jawwad Baig','Jawwad.Baig@bentley.com','61732704304' WHERE NOT EXISTS (SELECT Name FROM Contact WHERE Name = 'Jawwad Baig');</v>
      </c>
      <c r="AB34" t="str">
        <f>contactsSQL('Master Table'!AB34)</f>
        <v>INSERT INTO Contact (Name, Email, Phone) SELECT 'Alain Beland','Alain.Beland@bentley.com','14188802022' WHERE NOT EXISTS (SELECT Name FROM Contact WHERE Name = 'Alain Beland');</v>
      </c>
      <c r="AC34" t="str">
        <f>contactsSQL('Master Table'!AC34)</f>
        <v>INSERT INTO Contact (Name, Email, Phone) SELECT 'Muhammad Salheen','Muhammad.Salheen@bentley.com','61' WHERE NOT EXISTS (SELECT Name FROM Contact WHERE Name = 'Muhammad Salheen');</v>
      </c>
      <c r="AD34" t="str">
        <f>contactsSQL('Master Table'!AD34)</f>
        <v>INSERT INTO Contact (Name, Email, Phone) SELECT 'Dave Body','Dave.Body@bentley.com','61734107661' WHERE NOT EXISTS (SELECT Name FROM Contact WHERE Name = 'Dave Body');</v>
      </c>
      <c r="AE34" t="str">
        <f>contactsSQL('Master Table'!AE34)</f>
        <v>INSERT INTO Contact (Name, Email, Phone) SELECT 'Alan Benger','Alan.Benger@bentley.com','61411864052' WHERE NOT EXISTS (SELECT Name FROM Contact WHERE Name = 'Alan Benger');</v>
      </c>
      <c r="AF34" t="str">
        <f>contactsSQL('Master Table'!AF34)</f>
        <v>INSERT INTO Contact (Name, Email, Phone) SELECT 'Dave Body','Dave.Body@bentley.com','61734107661' WHERE NOT EXISTS (SELECT Name FROM Contact WHERE Name = 'Dave Body');</v>
      </c>
      <c r="AG34" t="str">
        <f>contactsSQL('Master Table'!AG34)</f>
        <v>INSERT INTO Contact (Name, Email, Phone) SELECT 'Paul Cusack','Paul.Cusack@bentley.com','61288778807' WHERE NOT EXISTS (SELECT Name FROM Contact WHERE Name = 'Paul Cusack');</v>
      </c>
      <c r="AH34" t="str">
        <f>contactsSQL('Master Table'!AH34)</f>
        <v>INSERT INTO Contact (Name, Email, Phone) SELECT 'Adam Smith','Adam.Smith@bentley.com','' WHERE NOT EXISTS (SELECT Name FROM Contact WHERE Name = 'Adam Smith');</v>
      </c>
      <c r="AI34" t="str">
        <f>contactsSQL('Master Table'!AI34)</f>
        <v>INSERT INTO Contact (Name, Email, Phone) SELECT 'Lawrence Yong','Lawrence.Yong@bentley.com','61288778803' WHERE NOT EXISTS (SELECT Name FROM Contact WHERE Name = 'Lawrence Yong');</v>
      </c>
      <c r="AJ34" t="str">
        <f>contactsSQL('Master Table'!AJ34)</f>
        <v>INSERT INTO Contact (Name, Email, Phone) SELECT 'Engteck Soon','Engteck.Soon@bentley.com','61396978647' WHERE NOT EXISTS (SELECT Name FROM Contact WHERE Name = 'Engteck Soon');</v>
      </c>
      <c r="AK34" t="str">
        <f>contactsSQL('Master Table'!AK34)</f>
        <v>INSERT INTO Contact (Name, Email, Phone) SELECT 'Engteck Soon','Engteck.Soon@bentley.com','61396978647' WHERE NOT EXISTS (SELECT Name FROM Contact WHERE Name = 'Engteck Soon');</v>
      </c>
      <c r="AL34" t="str">
        <f>contactsSQL('Master Table'!AL34)</f>
        <v>INSERT INTO Contact (Name, Email, Phone) SELECT 'Linda Oliveira','Linda.Oliveira@bentley.com','16104586084' WHERE NOT EXISTS (SELECT Name FROM Contact WHERE Name = 'Linda Oliveira');</v>
      </c>
      <c r="AM34" t="str">
        <f>contactsSQL('Master Table'!AM34)</f>
        <v>INSERT INTO Contact (Name, Email, Phone) SELECT 'Linda Oliveira','Linda.Oliveira@bentley.com','16104586084' WHERE NOT EXISTS (SELECT Name FROM Contact WHERE Name = 'Linda Oliveira');</v>
      </c>
      <c r="AN34" t="str">
        <f>contactsSQL('Master Table'!AN34)</f>
        <v>INSERT INTO Contact (Name, Email, Phone) SELECT 'Lon Opp','Lon.Opp@bentley.com','12569701127' WHERE NOT EXISTS (SELECT Name FROM Contact WHERE Name = 'Lon Opp');</v>
      </c>
      <c r="AO34" t="str">
        <f>contactsSQL('Master Table'!AO34)</f>
        <v>INSERT INTO Contact (Name, Email, Phone) SELECT 'Clive Hackforth','Clive.Hackforth@bentley.com','442078610933' WHERE NOT EXISTS (SELECT Name FROM Contact WHERE Name = 'Clive Hackforth');</v>
      </c>
      <c r="AP34" t="str">
        <f>contactsSQL('Master Table'!AP34)</f>
        <v>INSERT INTO Contact (Name, Email, Phone) SELECT 'Kristen Dietrich','Kristen.Dietrich@bentley.com','12038050414' WHERE NOT EXISTS (SELECT Name FROM Contact WHERE Name = 'Kristen Dietrich');</v>
      </c>
      <c r="AQ34" t="str">
        <f>contactsSQL('Master Table'!AQ34)</f>
        <v>INSERT INTO Contact (Name, Email, Phone) SELECT 'Joanna Slowinska','Joanna.Slowinska@bentley.com','442078610317' WHERE NOT EXISTS (SELECT Name FROM Contact WHERE Name = 'Joanna Slowinska');</v>
      </c>
      <c r="AR34" t="str">
        <f>contactsSQL('Master Table'!AR34)</f>
        <v>INSERT INTO Contact (Name, Email, Phone) SELECT 'Richard Ellis','Richard.Ellis@bentley.com','6421611832' WHERE NOT EXISTS (SELECT Name FROM Contact WHERE Name = 'Richard Ellis');</v>
      </c>
      <c r="AS34" t="str">
        <f>contactsSQL('Master Table'!AS34)</f>
        <v>INSERT INTO Contact (Name, Email, Phone) SELECT 'Neil Pickin','Neil.Pickin@bentley.com','441619731462' WHERE NOT EXISTS (SELECT Name FROM Contact WHERE Name = 'Neil Pickin');</v>
      </c>
      <c r="AT34" t="str">
        <f>contactsSQL('Master Table'!AT34)</f>
        <v>INSERT INTO Contact (Name, Email, Phone) SELECT 'Mark Mazzeo','Mark.Mazzeo@bentley.com','14122303034' WHERE NOT EXISTS (SELECT Name FROM Contact WHERE Name = 'Mark Mazzeo');</v>
      </c>
      <c r="AU34" t="str">
        <f>contactsSQL('Master Table'!AU34)</f>
        <v>INSERT INTO Contact (Name, Email, Phone) SELECT 'Paul Johnson','Paul.Johnson@bentley.com','16104583191' WHERE NOT EXISTS (SELECT Name FROM Contact WHERE Name = 'Paul Johnson');</v>
      </c>
      <c r="AV34" t="str">
        <f>contactsSQL('Master Table'!AV34)</f>
        <v>INSERT INTO Contact (Name, Email, Phone) SELECT 'Amol Sonawane','Amol.Sonawane@bentley.com','912066021201' WHERE NOT EXISTS (SELECT Name FROM Contact WHERE Name = 'Amol Sonawane');</v>
      </c>
      <c r="AW34" t="str">
        <f>contactsSQL('Master Table'!AW34)</f>
        <v>INSERT INTO Contact (Name, Email, Phone) SELECT 'Amol Sonawane','Amol.Sonawane@bentley.com','912066021201' WHERE NOT EXISTS (SELECT Name FROM Contact WHERE Name = 'Amol Sonawane');</v>
      </c>
      <c r="AX34" t="str">
        <f>contactsSQL('Master Table'!AX34)</f>
        <v>INSERT INTO Contact (Name, Email, Phone) SELECT 'Amol Sonawane','Amol.Sonawane@bentley.com','912066021201' WHERE NOT EXISTS (SELECT Name FROM Contact WHERE Name = 'Amol Sonawane');</v>
      </c>
      <c r="AY34" t="str">
        <f>contactsSQL('Master Table'!AY34)</f>
        <v>INSERT INTO Contact (Name, Email, Phone) SELECT 'Amol Sonawane','Amol.Sonawane@bentley.com','912066021201' WHERE NOT EXISTS (SELECT Name FROM Contact WHERE Name = 'Amol Sonawane');</v>
      </c>
      <c r="AZ34" t="str">
        <f>contactsSQL('Master Table'!AZ34)</f>
        <v>INSERT INTO Contact (Name, Email, Phone) SELECT 'Amol Sonawane','Amol.Sonawane@bentley.com','912066021201' WHERE NOT EXISTS (SELECT Name FROM Contact WHERE Name = 'Amol Sonawane');</v>
      </c>
      <c r="BA34" t="str">
        <f>contactsSQL('Master Table'!BA34)</f>
        <v>INSERT INTO Contact (Name, Email, Phone) SELECT 'Amol Sonawane','Amol.Sonawane@bentley.com','912066021201' WHERE NOT EXISTS (SELECT Name FROM Contact WHERE Name = 'Amol Sonawane');</v>
      </c>
      <c r="BB34" t="str">
        <f>contactsSQL('Master Table'!BB34)</f>
        <v>INSERT INTO Contact (Name, Email, Phone) SELECT 'Amol Sonawane','Amol.Sonawane@bentley.com','912066021201' WHERE NOT EXISTS (SELECT Name FROM Contact WHERE Name = 'Amol Sonawane');</v>
      </c>
      <c r="BC34" t="str">
        <f>contactsSQL('Master Table'!BC34)</f>
        <v>INSERT INTO Contact (Name, Email, Phone) SELECT 'Amol Sonawane','Amol.Sonawane@bentley.com','912066021201' WHERE NOT EXISTS (SELECT Name FROM Contact WHERE Name = 'Amol Sonawane');</v>
      </c>
      <c r="BD34" t="str">
        <f>contactsSQL('Master Table'!BD34)</f>
        <v>INSERT INTO Contact (Name, Email, Phone) SELECT 'Paul Johnson','Paul.Johnson@bentley.com','16104583191' WHERE NOT EXISTS (SELECT Name FROM Contact WHERE Name = 'Paul Johnson');</v>
      </c>
      <c r="BE34" t="str">
        <f>contactsSQL('Master Table'!BE34)</f>
        <v>INSERT INTO Contact (Name, Email, Phone) SELECT 'Paul Johnson','Paul.Johnson@bentley.com','16104583191' WHERE NOT EXISTS (SELECT Name FROM Contact WHERE Name = 'Paul Johnson');</v>
      </c>
      <c r="BF34" t="str">
        <f>contactsSQL('Master Table'!BF34)</f>
        <v>INSERT INTO Contact (Name, Email, Phone) SELECT 'Matt Starke','Matt.Starke@bentley.com','15102502118' WHERE NOT EXISTS (SELECT Name FROM Contact WHERE Name = 'Matt Starke');</v>
      </c>
      <c r="BG34" t="str">
        <f>contactsSQL('Master Table'!BG34)</f>
        <v>INSERT INTO Contact (Name, Email, Phone) SELECT 'Molly Watts','Molly.Watts@bentley.com','16104583183' WHERE NOT EXISTS (SELECT Name FROM Contact WHERE Name = 'Molly Watts');</v>
      </c>
      <c r="BH34" t="str">
        <f>contactsSQL('Master Table'!BH34)</f>
        <v>INSERT INTO Contact (Name, Email, Phone) SELECT 'Amol Sonawane','Amol.Sonawane@bentley.com','912066021201' WHERE NOT EXISTS (SELECT Name FROM Contact WHERE Name = 'Amol Sonawane');</v>
      </c>
      <c r="BI34" t="str">
        <f>contactsSQL('Master Table'!BI34)</f>
        <v>INSERT INTO Contact (Name, Email, Phone) SELECT 'Justinas Verbickas','Justinas.Verbickas@bentley.com','37052503337' WHERE NOT EXISTS (SELECT Name FROM Contact WHERE Name = 'Justinas Verbickas');</v>
      </c>
      <c r="BJ34" t="str">
        <f>contactsSQL('Master Table'!BJ34)</f>
        <v>INSERT INTO Contact (Name, Email, Phone) SELECT 'Amol Sonawane','Amol.Sonawane@bentley.com','912066021201' WHERE NOT EXISTS (SELECT Name FROM Contact WHERE Name = 'Amol Sonawane');</v>
      </c>
      <c r="BK34" t="str">
        <f>contactsSQL('Master Table'!BK34)</f>
        <v>INSERT INTO Contact (Name, Email, Phone) SELECT 'Amol Sonawane','Amol.Sonawane@bentley.com','912066021201' WHERE NOT EXISTS (SELECT Name FROM Contact WHERE Name = 'Amol Sonawane');</v>
      </c>
      <c r="BL34" t="str">
        <f>contactsSQL('Master Table'!BL34)</f>
        <v>INSERT INTO Contact (Name, Email, Phone) SELECT 'Amol Sonawane','Amol.Sonawane@bentley.com','912066021201' WHERE NOT EXISTS (SELECT Name FROM Contact WHERE Name = 'Amol Sonawane');</v>
      </c>
    </row>
    <row r="35" spans="3:64" x14ac:dyDescent="0.25">
      <c r="C35" t="str">
        <f>contactsSQL('Master Table'!C35)</f>
        <v>INSERT INTO Contact (Name, Email, Phone) SELECT 'David McGovern','David.McGovern@bentley.com','35314364609' WHERE NOT EXISTS (SELECT Name FROM Contact WHERE Name = 'David McGovern');</v>
      </c>
      <c r="D35" t="str">
        <f>contactsSQL('Master Table'!D35)</f>
        <v>INSERT INTO Contact (Name, Email, Phone) SELECT 'David McGovern','David.McGovern@bentley.com','35314364609' WHERE NOT EXISTS (SELECT Name FROM Contact WHERE Name = 'David McGovern');</v>
      </c>
      <c r="E35" t="str">
        <f>contactsSQL('Master Table'!E35)</f>
        <v>INSERT INTO Contact (Name, Email, Phone) SELECT 'David McGovern','David.McGovern@bentley.com','35314364609' WHERE NOT EXISTS (SELECT Name FROM Contact WHERE Name = 'David McGovern');</v>
      </c>
      <c r="F35" t="str">
        <f>contactsSQL('Master Table'!F35)</f>
        <v>INSERT INTO Contact (Name, Email, Phone) SELECT 'David McGovern','David.McGovern@bentley.com','35314364609' WHERE NOT EXISTS (SELECT Name FROM Contact WHERE Name = 'David McGovern');</v>
      </c>
      <c r="G35" t="str">
        <f>contactsSQL('Master Table'!G35)</f>
        <v>INSERT INTO Contact (Name, Email, Phone) SELECT 'David McGovern','David.McGovern@bentley.com','35314364609' WHERE NOT EXISTS (SELECT Name FROM Contact WHERE Name = 'David McGovern');</v>
      </c>
      <c r="H35" t="str">
        <f>contactsSQL('Master Table'!H35)</f>
        <v>INSERT INTO Contact (Name, Email, Phone) SELECT 'David McGovern','David.McGovern@bentley.com','35314364609' WHERE NOT EXISTS (SELECT Name FROM Contact WHERE Name = 'David McGovern');</v>
      </c>
      <c r="I35" t="str">
        <f>contactsSQL('Master Table'!I35)</f>
        <v/>
      </c>
      <c r="J35" t="str">
        <f>contactsSQL('Master Table'!J35)</f>
        <v/>
      </c>
      <c r="K35" t="str">
        <f>contactsSQL('Master Table'!K35)</f>
        <v/>
      </c>
      <c r="L35" t="str">
        <f>contactsSQL('Master Table'!L35)</f>
        <v/>
      </c>
      <c r="M35" t="str">
        <f>contactsSQL('Master Table'!M35)</f>
        <v>INSERT INTO Contact (Name, Email, Phone) SELECT 'David McGovern','David.McGovern@bentley.com','35314364609' WHERE NOT EXISTS (SELECT Name FROM Contact WHERE Name = 'David McGovern');</v>
      </c>
      <c r="N35" t="str">
        <f>contactsSQL('Master Table'!N35)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'Olga Alexandrova','Olga.Alexandrova@bentley.com','74999182615' WHERE NOT EXISTS (SELECT Name FROM Contact WHERE Name = 'Olga Alexandrova');</v>
      </c>
      <c r="O35" t="str">
        <f>contactsSQL('Master Table'!O35)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'Olga Alexandrova','Olga.Alexandrova@bentley.com','74999182615' WHERE NOT EXISTS (SELECT Name FROM Contact WHERE Name = 'Olga Alexandrova');</v>
      </c>
      <c r="P35" t="str">
        <f>contactsSQL('Master Table'!P35)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'Olga Alexandrova','Olga.Alexandrova@bentley.com','74999182615' WHERE NOT EXISTS (SELECT Name FROM Contact WHERE Name = 'Olga Alexandrova');</v>
      </c>
      <c r="Q35" t="str">
        <f>contactsSQL('Master Table'!Q35)</f>
        <v>INSERT INTO Contact (Name, Email, Phone) SELECT 'Rick Black','Rick.Black@bentley.com','442078610924' WHERE NOT EXISTS (SELECT Name FROM Contact WHERE Name = 'Rick Black');INSERT INTO Contact (Name, Email, Phone) SELECT 'Olga Alexandrova','Olga.Alexandrova@bentley.com','74999182615' WHERE NOT EXISTS (SELECT Name FROM Contact WHERE Name = 'Olga Alexandrova');</v>
      </c>
      <c r="R35" t="str">
        <f>contactsSQL('Master Table'!R35)</f>
        <v>INSERT INTO Contact (Name, Email, Phone) SELECT 'Olga Alexandrova','Olga.Alexandrova@bentley.com','74999182615' WHERE NOT EXISTS (SELECT Name FROM Contact WHERE Name = 'Olga Alexandrova');INSERT INTO Contact (Name, Email, Phone) SELECT 'Scott Ryan','Scott.Ryan@bentley.com','35314363569' WHERE NOT EXISTS (SELECT Name FROM Contact WHERE Name = 'Scott Ryan');INSERT INTO Contact (Name, Email, Phone) SELECT 'Stefania Rando','Stefania.Rando@bentley.com','35314363598' WHERE NOT EXISTS (SELECT Name FROM Contact WHERE Name = 'Stefania Rando');</v>
      </c>
      <c r="S35" t="str">
        <f>contactsSQL('Master Table'!S35)</f>
        <v>INSERT INTO Contact (Name, Email, Phone) SELECT 'Olga Alexandrova','Olga.Alexandrova@bentley.com','74999182615' WHERE NOT EXISTS (SELECT Name FROM Contact WHERE Name = 'Olga Alexandrova');INSERT INTO Contact (Name, Email, Phone) SELECT 'Scott Ryan','Scott.Ryan@bentley.com','35314363569' WHERE NOT EXISTS (SELECT Name FROM Contact WHERE Name = 'Scott Ryan');INSERT INTO Contact (Name, Email, Phone) SELECT 'Stefania Rando','Stefania.Rando@bentley.com','35314363598' WHERE NOT EXISTS (SELECT Name FROM Contact WHERE Name = 'Stefania Rando');</v>
      </c>
      <c r="T35" t="str">
        <f>contactsSQL('Master Table'!T35)</f>
        <v>INSERT INTO Contact (Name, Email, Phone) SELECT 'Olga Alexandrova','Olga.Alexandrova@bentley.com','74999182615' WHERE NOT EXISTS (SELECT Name FROM Contact WHERE Name = 'Olga Alexandrova');INSERT INTO Contact (Name, Email, Phone) SELECT 'Scott Ryan','Scott.Ryan@bentley.com','35314363569' WHERE NOT EXISTS (SELECT Name FROM Contact WHERE Name = 'Scott Ryan');INSERT INTO Contact (Name, Email, Phone) SELECT 'Stefania Rando','Stefania.Rando@bentley.com','35314363598' WHERE NOT EXISTS (SELECT Name FROM Contact WHERE Name = 'Stefania Rando');</v>
      </c>
      <c r="U35" t="str">
        <f>contactsSQL('Master Table'!U35)</f>
        <v>INSERT INTO Contact (Name, Email, Phone) SELECT 'Olga Alexandrova','Olga.Alexandrova@bentley.com','74999182615' WHERE NOT EXISTS (SELECT Name FROM Contact WHERE Name = 'Olga Alexandrova');INSERT INTO Contact (Name, Email, Phone) SELECT 'Scott Ryan','Scott.Ryan@bentley.com','35314363569' WHERE NOT EXISTS (SELECT Name FROM Contact WHERE Name = 'Scott Ryan');INSERT INTO Contact (Name, Email, Phone) SELECT 'Stefania Rando','Stefania.Rando@bentley.com','35314363598' WHERE NOT EXISTS (SELECT Name FROM Contact WHERE Name = 'Stefania Rando');</v>
      </c>
      <c r="V35" t="str">
        <f>contactsSQL('Master Table'!V35)</f>
        <v>INSERT INTO Contact (Name, Email, Phone) SELECT 'Olga Alexandrova','Olga.Alexandrova@bentley.com','74999182615' WHERE NOT EXISTS (SELECT Name FROM Contact WHERE Name = 'Olga Alexandrova');INSERT INTO Contact (Name, Email, Phone) SELECT 'Scott Ryan','Scott.Ryan@bentley.com','35314363569' WHERE NOT EXISTS (SELECT Name FROM Contact WHERE Name = 'Scott Ryan');INSERT INTO Contact (Name, Email, Phone) SELECT 'Stefania Rando','Stefania.Rando@bentley.com','35314363598' WHERE NOT EXISTS (SELECT Name FROM Contact WHERE Name = 'Stefania Rando');</v>
      </c>
      <c r="W35" t="str">
        <f>contactsSQL('Master Table'!W35)</f>
        <v>INSERT INTO Contact (Name, Email, Phone) SELECT 'Olga Alexandrova','Olga.Alexandrova@bentley.com','74999182615' WHERE NOT EXISTS (SELECT Name FROM Contact WHERE Name = 'Olga Alexandrova');INSERT INTO Contact (Name, Email, Phone) SELECT 'Scott Ryan','Scott.Ryan@bentley.com','35314363569' WHERE NOT EXISTS (SELECT Name FROM Contact WHERE Name = 'Scott Ryan');INSERT INTO Contact (Name, Email, Phone) SELECT 'Stefania Rando','Stefania.Rando@bentley.com','35314363598' WHERE NOT EXISTS (SELECT Name FROM Contact WHERE Name = 'Stefania Rando');</v>
      </c>
      <c r="X35" t="str">
        <f>contactsSQL('Master Table'!X35)</f>
        <v>INSERT INTO Contact (Name, Email, Phone) SELECT 'Michael Curran','Michael.Curran@bentley.com','35314363563' WHERE NOT EXISTS (SELECT Name FROM Contact WHERE Name = 'Michael Curran');INSERT INTO Contact (Name, Email, Phone) SELECT 'Olga Alexandrova','Olga.Alexandrova@bentley.com','74999182615' WHERE NOT EXISTS (SELECT Name FROM Contact WHERE Name = 'Olga Alexandrova');</v>
      </c>
      <c r="Y35" t="str">
        <f>contactsSQL('Master Table'!Y35)</f>
        <v>INSERT INTO Contact (Name, Email, Phone) SELECT 'Michael Curran','Michael.Curran@bentley.com','35314363563' WHERE NOT EXISTS (SELECT Name FROM Contact WHERE Name = 'Michael Curran');INSERT INTO Contact (Name, Email, Phone) SELECT 'Olga Alexandrova','Olga.Alexandrova@bentley.com','74999182615' WHERE NOT EXISTS (SELECT Name FROM Contact WHERE Name = 'Olga Alexandrova');</v>
      </c>
      <c r="Z35" t="str">
        <f>contactsSQL('Master Table'!Z35)</f>
        <v>INSERT INTO Contact (Name, Email, Phone) SELECT 'Michael Curran','Michael.Curran@bentley.com','35314363563' WHERE NOT EXISTS (SELECT Name FROM Contact WHERE Name = 'Michael Curran');INSERT INTO Contact (Name, Email, Phone) SELECT 'Olga Alexandrova','Olga.Alexandrova@bentley.com','74999182615' WHERE NOT EXISTS (SELECT Name FROM Contact WHERE Name = 'Olga Alexandrova');</v>
      </c>
      <c r="AA35" t="str">
        <f>contactsSQL('Master Table'!AA35)</f>
        <v>INSERT INTO Contact (Name, Email, Phone) SELECT 'Michael Curran','Michael.Curran@bentley.com','35314363563' WHERE NOT EXISTS (SELECT Name FROM Contact WHERE Name = 'Michael Curran');INSERT INTO Contact (Name, Email, Phone) SELECT 'Olga Alexandrova','Olga.Alexandrova@bentley.com','74999182615' WHERE NOT EXISTS (SELECT Name FROM Contact WHERE Name = 'Olga Alexandrova');</v>
      </c>
      <c r="AB35" t="str">
        <f>contactsSQL('Master Table'!AB35)</f>
        <v>INSERT INTO Contact (Name, Email, Phone) SELECT 'Craven Naidoo','Craven.Naidoo@bentley.com','27112533018' WHERE NOT EXISTS (SELECT Name FROM Contact WHERE Name = 'Craven Naidoo');</v>
      </c>
      <c r="AC35" t="str">
        <f>contactsSQL('Master Table'!AC35)</f>
        <v>INSERT INTO Contact (Name, Email, Phone) SELECT 'Michael Curran','Michael.Curran@bentley.com','35314363563' WHERE NOT EXISTS (SELECT Name FROM Contact WHERE Name = 'Michael Curran');INSERT INTO Contact (Name, Email, Phone) SELECT 'Olga Alexandrova','Olga.Alexandrova@bentley.com','74999182615' WHERE NOT EXISTS (SELECT Name FROM Contact WHERE Name = 'Olga Alexandrova');</v>
      </c>
      <c r="AD35" t="str">
        <f>contactsSQL('Master Table'!AD35)</f>
        <v>INSERT INTO Contact (Name, Email, Phone) SELECT 'Mourad Labguira','Mourad.Labguira@bentley.com','442078617872' WHERE NOT EXISTS (SELECT Name FROM Contact WHERE Name = 'Mourad Labguira');INSERT INTO Contact (Name, Email, Phone) SELECT 'Olga Alexandrova','Olga.Alexandrova@bentley.com','74999182615' WHERE NOT EXISTS (SELECT Name FROM Contact WHERE Name = 'Olga Alexandrova');</v>
      </c>
      <c r="AE35" t="str">
        <f>contactsSQL('Master Table'!AE35)</f>
        <v>INSERT INTO Contact (Name, Email, Phone) SELECT 'Erwin Van Meurs','Erwin.VanMeurs@bentley.com','35314364602' WHERE NOT EXISTS (SELECT Name FROM Contact WHERE Name = 'Erwin Van Meurs');INSERT INTO Contact (Name, Email, Phone) SELECT 'Mourad Labguira','Mourad.Labguira@bentley.com','442078617872' WHERE NOT EXISTS (SELECT Name FROM Contact WHERE Name = 'Mourad Labguira');INSERT INTO Contact (Name, Email, Phone) SELECT 'Olga Alexandrova','Olga.Alexandrova@bentley.com','74999182615' WHERE NOT EXISTS (SELECT Name FROM Contact WHERE Name = 'Olga Alexandrova');</v>
      </c>
      <c r="AF35" t="str">
        <f>contactsSQL('Master Table'!AF35)</f>
        <v>INSERT INTO Contact (Name, Email, Phone) SELECT 'Mourad Labguira','Mourad.Labguira@bentley.com','442078617872' WHERE NOT EXISTS (SELECT Name FROM Contact WHERE Name = 'Mourad Labguira');INSERT INTO Contact (Name, Email, Phone) SELECT 'Olga Alexandrova','Olga.Alexandrova@bentley.com','74999182615' WHERE NOT EXISTS (SELECT Name FROM Contact WHERE Name = 'Olga Alexandrova');</v>
      </c>
      <c r="AG35" t="str">
        <f>contactsSQL('Master Table'!AG35)</f>
        <v>INSERT INTO Contact (Name, Email, Phone) SELECT 'Mourad Labguira','Mourad.Labguira@bentley.com','442078617872' WHERE NOT EXISTS (SELECT Name FROM Contact WHERE Name = 'Mourad Labguira');INSERT INTO Contact (Name, Email, Phone) SELECT 'Olga Alexandrova','Olga.Alexandrova@bentley.com','74999182615' WHERE NOT EXISTS (SELECT Name FROM Contact WHERE Name = 'Olga Alexandrova');</v>
      </c>
      <c r="AH35" t="str">
        <f>contactsSQL('Master Table'!AH35)</f>
        <v>INSERT INTO Contact (Name, Email, Phone) SELECT 'Mathis Hasle','Mathis.Hasle@bentley.com','35314364617' WHERE NOT EXISTS (SELECT Name FROM Contact WHERE Name = 'Mathis Hasle');INSERT INTO Contact (Name, Email, Phone) SELECT 'Stefania Rando','Stefania.Rando@bentley.com','35314363598' WHERE NOT EXISTS (SELECT Name FROM Contact WHERE Name = 'Stefania Rando');INSERT INTO Contact (Name, Email, Phone) SELECT 'Olga Alexandrova','Olga.Alexandrova@bentley.com','74999182615' WHERE NOT EXISTS (SELECT Name FROM Contact WHERE Name = 'Olga Alexandrova');</v>
      </c>
      <c r="AI35" t="str">
        <f>contactsSQL('Master Table'!AI35)</f>
        <v>INSERT INTO Contact (Name, Email, Phone) SELECT 'Rick Black','Rick.Black@bentley.com','442078610924' WHERE NOT EXISTS (SELECT Name FROM Contact WHERE Name = 'Rick Black');INSERT INTO Contact (Name, Email, Phone) SELECT 'Olga Alexandrova','Olga.Alexandrova@bentley.com','74999182615' WHERE NOT EXISTS (SELECT Name FROM Contact WHERE Name = 'Olga Alexandrova');</v>
      </c>
      <c r="AJ35" t="str">
        <f>contactsSQL('Master Table'!AJ35)</f>
        <v>INSERT INTO Contact (Name, Email, Phone) SELECT 'Andrew Rhodes','Andrew.Rhodes@bentley.com','441784426602' WHERE NOT EXISTS (SELECT Name FROM Contact WHERE Name = 'Andrew Rhodes');</v>
      </c>
      <c r="AK35" t="str">
        <f>contactsSQL('Master Table'!AK35)</f>
        <v>INSERT INTO Contact (Name, Email, Phone) SELECT 'David Smith','David.Smith@bentley.com','441349865554' WHERE NOT EXISTS (SELECT Name FROM Contact WHERE Name = 'David Smith');</v>
      </c>
      <c r="AL35" t="str">
        <f>contactsSQL('Master Table'!AL35)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M35" t="str">
        <f>contactsSQL('Master Table'!AM35)</f>
        <v>INSERT INTO Contact (Name, Email, Phone) SELECT 'Darja Kalau','darja.kalau@bentley.com','35314363522' WHERE NOT EXISTS (SELECT Name FROM Contact WHERE Name = 'Darja Kalau');</v>
      </c>
      <c r="AN35" t="str">
        <f>contactsSQL('Master Table'!AN35)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O35" t="str">
        <f>contactsSQL('Master Table'!AO35)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35" t="str">
        <f>contactsSQL('Master Table'!AP35)</f>
        <v>INSERT INTO Contact (Name, Email, Phone) SELECT 'Slavco Velichkov','Slavco.Velickov@bentley.com','' WHERE NOT EXISTS (SELECT Name FROM Contact WHERE Name = 'Slavco Velichkov');</v>
      </c>
      <c r="AQ35" t="str">
        <f>contactsSQL('Master Table'!AQ35)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35" t="str">
        <f>contactsSQL('Master Table'!AR35)</f>
        <v>INSERT INTO Contact (Name, Email, Phone) SELECT 'Dan Vogen','Dan.Vogen@bentley.com','16309816500' WHERE NOT EXISTS (SELECT Name FROM Contact WHERE Name = 'Dan Vogen');</v>
      </c>
      <c r="AS35" t="str">
        <f>contactsSQL('Master Table'!AS35)</f>
        <v>INSERT INTO Contact (Name, Email, Phone) SELECT 'David Smith','David.Smith@bentley.com','441349865554' WHERE NOT EXISTS (SELECT Name FROM Contact WHERE Name = 'David Smith');</v>
      </c>
      <c r="AT35" t="str">
        <f>contactsSQL('Master Table'!AT35)</f>
        <v>INSERT INTO Contact (Name, Email, Phone) SELECT 'Ben Witter','Ben.Witter@bentley.com','12676642491' WHERE NOT EXISTS (SELECT Name FROM Contact WHERE Name = 'Ben Witter');</v>
      </c>
      <c r="AU35" t="str">
        <f>contactsSQL('Master Table'!AU35)</f>
        <v>INSERT INTO Contact (Name, Email, Phone) SELECT 'Eric Crivella','Eric.Crivella@bentley.com','18322172802' WHERE NOT EXISTS (SELECT Name FROM Contact WHERE Name = 'Eric Crivella');</v>
      </c>
      <c r="AV35" t="str">
        <f>contactsSQL('Master Table'!AV35)</f>
        <v>INSERT INTO Contact (Name, Email, Phone) SELECT 'Stefan Sigvardsson','Stefan.Sigvardsson@bentley.com','46313378732' WHERE NOT EXISTS (SELECT Name FROM Contact WHERE Name = 'Stefan Sigvardsson');</v>
      </c>
      <c r="AW35" t="str">
        <f>contactsSQL('Master Table'!AW35)</f>
        <v>INSERT INTO Contact (Name, Email, Phone) SELECT 'Stefan Sigvardsson','Stefan.Sigvardsson@bentley.com','46313378732' WHERE NOT EXISTS (SELECT Name FROM Contact WHERE Name = 'Stefan Sigvardsson');</v>
      </c>
      <c r="AX35" t="str">
        <f>contactsSQL('Master Table'!AX35)</f>
        <v>INSERT INTO Contact (Name, Email, Phone) SELECT 'Stefan Sigvardsson','Stefan.Sigvardsson@bentley.com','46313378732' WHERE NOT EXISTS (SELECT Name FROM Contact WHERE Name = 'Stefan Sigvardsson');</v>
      </c>
      <c r="AY35" t="str">
        <f>contactsSQL('Master Table'!AY35)</f>
        <v>INSERT INTO Contact (Name, Email, Phone) SELECT 'Stefan Sigvardsson','Stefan.Sigvardsson@bentley.com','46313378732' WHERE NOT EXISTS (SELECT Name FROM Contact WHERE Name = 'Stefan Sigvardsson');</v>
      </c>
      <c r="AZ35" t="str">
        <f>contactsSQL('Master Table'!AZ35)</f>
        <v>INSERT INTO Contact (Name, Email, Phone) SELECT 'Stefan Sigvardsson','Stefan.Sigvardsson@bentley.com','46313378732' WHERE NOT EXISTS (SELECT Name FROM Contact WHERE Name = 'Stefan Sigvardsson');</v>
      </c>
      <c r="BA35" t="str">
        <f>contactsSQL('Master Table'!BA35)</f>
        <v>INSERT INTO Contact (Name, Email, Phone) SELECT 'Stefan Sigvardsson','Stefan.Sigvardsson@bentley.com','46313378732' WHERE NOT EXISTS (SELECT Name FROM Contact WHERE Name = 'Stefan Sigvardsson');</v>
      </c>
      <c r="BB35" t="str">
        <f>contactsSQL('Master Table'!BB35)</f>
        <v>INSERT INTO Contact (Name, Email, Phone) SELECT 'Stefan Sigvardsson','Stefan.Sigvardsson@bentley.com','46313378732' WHERE NOT EXISTS (SELECT Name FROM Contact WHERE Name = 'Stefan Sigvardsson');</v>
      </c>
      <c r="BC35" t="str">
        <f>contactsSQL('Master Table'!BC35)</f>
        <v>INSERT INTO Contact (Name, Email, Phone) SELECT 'Stefan Sigvardsson','Stefan.Sigvardsson@bentley.com','46313378732' WHERE NOT EXISTS (SELECT Name FROM Contact WHERE Name = 'Stefan Sigvardsson');</v>
      </c>
      <c r="BD35" t="str">
        <f>contactsSQL('Master Table'!BD35)</f>
        <v>INSERT INTO Contact (Name, Email, Phone) SELECT 'Rocco Masiello','Rocco.Masiello@bentley.com','35314364621' WHERE NOT EXISTS (SELECT Name FROM Contact WHERE Name = 'Rocco Masiello');</v>
      </c>
      <c r="BE35" t="str">
        <f>contactsSQL('Master Table'!BE35)</f>
        <v>INSERT INTO Contact (Name, Email, Phone) SELECT 'Eric Crivella','Eric.Crivella@bentley.com','18322172802' WHERE NOT EXISTS (SELECT Name FROM Contact WHERE Name = 'Eric Crivella');</v>
      </c>
      <c r="BF35" t="str">
        <f>contactsSQL('Master Table'!BF35)</f>
        <v>INSERT INTO Contact (Name, Email, Phone) SELECT 'Eric Law','Eric.Law@bentley.com','15102502114' WHERE NOT EXISTS (SELECT Name FROM Contact WHERE Name = 'Eric Law');</v>
      </c>
      <c r="BG35" t="str">
        <f>contactsSQL('Master Table'!BG35)</f>
        <v>INSERT INTO Contact (Name, Email, Phone) SELECT 'Stefan Sigvardsson','Stefan.Sigvardsson@bentley.com','46313378732' WHERE NOT EXISTS (SELECT Name FROM Contact WHERE Name = 'Stefan Sigvardsson');</v>
      </c>
      <c r="BH35" t="str">
        <f>contactsSQL('Master Table'!BH35)</f>
        <v>INSERT INTO Contact (Name, Email, Phone) SELECT 'Stefan Sigvardsson','Stefan.Sigvardsson@bentley.com','46313378732' WHERE NOT EXISTS (SELECT Name FROM Contact WHERE Name = 'Stefan Sigvardsson');</v>
      </c>
      <c r="BI35" t="str">
        <f>contactsSQL('Master Table'!BI35)</f>
        <v>INSERT INTO Contact (Name, Email, Phone) SELECT 'Stefan Sigvardsson','Stefan.Sigvardsson@bentley.com','46313378732' WHERE NOT EXISTS (SELECT Name FROM Contact WHERE Name = 'Stefan Sigvardsson');</v>
      </c>
      <c r="BJ35" t="str">
        <f>contactsSQL('Master Table'!BJ35)</f>
        <v>INSERT INTO Contact (Name, Email, Phone) SELECT 'Stefan Sigvardsson','Stefan.Sigvardsson@bentley.com','46313378732' WHERE NOT EXISTS (SELECT Name FROM Contact WHERE Name = 'Stefan Sigvardsson');</v>
      </c>
      <c r="BK35" t="str">
        <f>contactsSQL('Master Table'!BK35)</f>
        <v>INSERT INTO Contact (Name, Email, Phone) SELECT 'Stefan Sigvardsson','Stefan.Sigvardsson@bentley.com','46313378732' WHERE NOT EXISTS (SELECT Name FROM Contact WHERE Name = 'Stefan Sigvardsson');</v>
      </c>
      <c r="BL35" t="str">
        <f>contactsSQL('Master Table'!BL35)</f>
        <v>INSERT INTO Contact (Name, Email, Phone) SELECT 'Stefan Sigvardsson','Stefan.Sigvardsson@bentley.com','46313378732' WHERE NOT EXISTS (SELECT Name FROM Contact WHERE Name = 'Stefan Sigvardsson');</v>
      </c>
    </row>
    <row r="36" spans="3:64" x14ac:dyDescent="0.25">
      <c r="C36" t="str">
        <f>contactsSQL('Master Table'!C36)</f>
        <v>INSERT INTO Contact (Name, Email, Phone) SELECT 'Carlos Aguera','Carlos.Aguera@bentley.com','442078610973' WHERE NOT EXISTS (SELECT Name FROM Contact WHERE Name = 'Carlos Aguera');</v>
      </c>
      <c r="D36" t="str">
        <f>contactsSQL('Master Table'!D36)</f>
        <v>INSERT INTO Contact (Name, Email, Phone) SELECT 'Allen Adams','Allen.Adams@bentley.com','17604313610' WHERE NOT EXISTS (SELECT Name FROM Contact WHERE Name = 'Allen Adams');</v>
      </c>
      <c r="E36" t="str">
        <f>contactsSQL('Master Table'!E36)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36" t="str">
        <f>contactsSQL('Master Table'!F36)</f>
        <v>INSERT INTO Contact (Name, Email, Phone) SELECT 'Parvinder Jhita','Parvinder.Jhita@bentley.com','1' WHERE NOT EXISTS (SELECT Name FROM Contact WHERE Name = 'Parvinder Jhita');</v>
      </c>
      <c r="G36" t="str">
        <f>contactsSQL('Master Table'!G36)</f>
        <v>INSERT INTO Contact (Name, Email, Phone) SELECT 'Pat Couser','Pat.Couser@bentley.com','' WHERE NOT EXISTS (SELECT Name FROM Contact WHERE Name = 'Pat Couser');</v>
      </c>
      <c r="H36" t="str">
        <f>contactsSQL('Master Table'!H36)</f>
        <v>INSERT INTO Contact (Name, Email, Phone) SELECT 'Georgina Maldonado','Georgina.Maldonado@bentley.com','7133608369' WHERE NOT EXISTS (SELECT Name FROM Contact WHERE Name = 'Georgina Maldonado');</v>
      </c>
      <c r="I36" t="str">
        <f>contactsSQL('Master Table'!I36)</f>
        <v>INSERT INTO Contact (Name, Email, Phone) SELECT 'Gregor Strekelj','Gregor.Strekelj@bentley.com','4331682153165' WHERE NOT EXISTS (SELECT Name FROM Contact WHERE Name = 'Gregor Strekelj');</v>
      </c>
      <c r="J36" t="str">
        <f>contactsSQL('Master Table'!J36)</f>
        <v>INSERT INTO Contact (Name, Email, Phone) SELECT 'Xin Luo','Xin.Luo@bentley.com','19543439359' WHERE NOT EXISTS (SELECT Name FROM Contact WHERE Name = 'Xin Luo');</v>
      </c>
      <c r="K36" t="str">
        <f>contactsSQL('Master Table'!K36)</f>
        <v>INSERT INTO Contact (Name, Email, Phone) SELECT 'Sri Kanneganti','Sri.Kanneganti@bentley.com','19543439325' WHERE NOT EXISTS (SELECT Name FROM Contact WHERE Name = 'Sri Kanneganti');</v>
      </c>
      <c r="L36" t="str">
        <f>contactsSQL('Master Table'!L36)</f>
        <v>INSERT INTO Contact (Name, Email, Phone) SELECT 'Bill Beyer','Bill.Beyer@bentley.com','18166667568' WHERE NOT EXISTS (SELECT Name FROM Contact WHERE Name = 'Bill Beyer');</v>
      </c>
      <c r="M36" t="str">
        <f>contactsSQL('Master Table'!M36)</f>
        <v>INSERT INTO Contact (Name, Email, Phone) SELECT 'David Settlemeyer','David.Settlemyer@bentley.com','16103214610' WHERE NOT EXISTS (SELECT Name FROM Contact WHERE Name = 'David Settlemeyer');</v>
      </c>
      <c r="N36" t="str">
        <f>contactsSQL('Master Table'!N36)</f>
        <v>INSERT INTO Contact (Name, Email, Phone) SELECT 'Andy Smith','Andy.Smith@bentley.com','7046630319' WHERE NOT EXISTS (SELECT Name FROM Contact WHERE Name = 'Andy Smith');</v>
      </c>
      <c r="O36" t="str">
        <f>contactsSQL('Master Table'!O36)</f>
        <v>INSERT INTO Contact (Name, Email, Phone) SELECT 'Andy Smith','Andy.Smith@bentley.com','7046630319' WHERE NOT EXISTS (SELECT Name FROM Contact WHERE Name = 'Andy Smith');</v>
      </c>
      <c r="P36" t="str">
        <f>contactsSQL('Master Table'!P36)</f>
        <v>INSERT INTO Contact (Name, Email, Phone) SELECT 'Paul Demetriou','Paul.Demetriou@bentley.com','12088879204' WHERE NOT EXISTS (SELECT Name FROM Contact WHERE Name = 'Paul Demetriou');</v>
      </c>
      <c r="Q36" t="str">
        <f>contactsSQL('Master Table'!Q36)</f>
        <v>INSERT INTO Contact (Name, Email, Phone) SELECT 'Ian Rosam','Ian.Rosam@bentley.com','442078610313' WHERE NOT EXISTS (SELECT Name FROM Contact WHERE Name = 'Ian Rosam');</v>
      </c>
      <c r="R36" t="str">
        <f>contactsSQL('Master Table'!R36)</f>
        <v>INSERT INTO Contact (Name, Email, Phone) SELECT 'Ian Rosam','Ian.Rosam@bentley.com','442078610313' WHERE NOT EXISTS (SELECT Name FROM Contact WHERE Name = 'Ian Rosam');</v>
      </c>
      <c r="S36" t="str">
        <f>contactsSQL('Master Table'!S36)</f>
        <v>INSERT INTO Contact (Name, Email, Phone) SELECT 'Ian Rosam','Ian.Rosam@bentley.com','442078610313' WHERE NOT EXISTS (SELECT Name FROM Contact WHERE Name = 'Ian Rosam');</v>
      </c>
      <c r="T36" t="str">
        <f>contactsSQL('Master Table'!T36)</f>
        <v>INSERT INTO Contact (Name, Email, Phone) SELECT 'Kivanc Karakas','Kivanc.Karakas@bentley.com','442078610339' WHERE NOT EXISTS (SELECT Name FROM Contact WHERE Name = 'Kivanc Karakas');</v>
      </c>
      <c r="U36" t="str">
        <f>contactsSQL('Master Table'!U36)</f>
        <v>INSERT INTO Contact (Name, Email, Phone) SELECT 'Ian Rosam','Ian.Rosam@bentley.com','442078610313' WHERE NOT EXISTS (SELECT Name FROM Contact WHERE Name = 'Ian Rosam');</v>
      </c>
      <c r="V36" t="str">
        <f>contactsSQL('Master Table'!V36)</f>
        <v>INSERT INTO Contact (Name, Email, Phone) SELECT 'Francois Valois','Francois.Valois@bentley.com','15817817522' WHERE NOT EXISTS (SELECT Name FROM Contact WHERE Name = 'Francois Valois');</v>
      </c>
      <c r="W36" t="str">
        <f>contactsSQL('Master Table'!W36)</f>
        <v>INSERT INTO Contact (Name, Email, Phone) SELECT 'Nicolas Loubier','Nicolas.Loubier@bentley.com','15817817567' WHERE NOT EXISTS (SELECT Name FROM Contact WHERE Name = 'Nicolas Loubier');</v>
      </c>
      <c r="X36" t="str">
        <f>contactsSQL('Master Table'!X36)</f>
        <v>INSERT INTO Contact (Name, Email, Phone) SELECT 'Adnan Ulhaq','Adnan.Ulhaq@bentley.com','92512078422' WHERE NOT EXISTS (SELECT Name FROM Contact WHERE Name = 'Adnan Ulhaq');</v>
      </c>
      <c r="Y36" t="str">
        <f>contactsSQL('Master Table'!Y36)</f>
        <v>INSERT INTO Contact (Name, Email, Phone) SELECT 'Tim Lawrence','Tim.Lawrence@bentley.com','15873158588' WHERE NOT EXISTS (SELECT Name FROM Contact WHERE Name = 'Tim Lawrence');</v>
      </c>
      <c r="Z36" t="str">
        <f>contactsSQL('Master Table'!Z36)</f>
        <v>INSERT INTO Contact (Name, Email, Phone) SELECT 'Abbas Ali','','16104583160' WHERE NOT EXISTS (SELECT Name FROM Contact WHERE Name = 'Abbas Ali');</v>
      </c>
      <c r="AA36" t="str">
        <f>contactsSQL('Master Table'!AA36)</f>
        <v>INSERT INTO Contact (Name, Email, Phone) SELECT 'Rob Harper','Rob.Harper@bentley.com','17137303385' WHERE NOT EXISTS (SELECT Name FROM Contact WHERE Name = 'Rob Harper');</v>
      </c>
      <c r="AB36" t="str">
        <f>contactsSQL('Master Table'!AB36)</f>
        <v>INSERT INTO Contact (Name, Email, Phone) SELECT 'Alain Beland','Alain.Beland@bentley.com','14188802022' WHERE NOT EXISTS (SELECT Name FROM Contact WHERE Name = 'Alain Beland');</v>
      </c>
      <c r="AC36" t="str">
        <f>contactsSQL('Master Table'!AC36)</f>
        <v>INSERT INTO Contact (Name, Email, Phone) SELECT 'Tim Lawrence','Tim.Lawrence@bentley.com','15873158588' WHERE NOT EXISTS (SELECT Name FROM Contact WHERE Name = 'Tim Lawrence');</v>
      </c>
      <c r="AD36" t="str">
        <f>contactsSQL('Master Table'!AD36)</f>
        <v>INSERT INTO Contact (Name, Email, Phone) SELECT 'Benoit Frederique','Benoit.Fredericque@bentley.com','' WHERE NOT EXISTS (SELECT Name FROM Contact WHERE Name = 'Benoit Frederique');</v>
      </c>
      <c r="AE36" t="str">
        <f>contactsSQL('Master Table'!AE36)</f>
        <v>INSERT INTO Contact (Name, Email, Phone) SELECT 'Benoit Frederique','Benoit.Fredericque@bentley.com','' WHERE NOT EXISTS (SELECT Name FROM Contact WHERE Name = 'Benoit Frederique');</v>
      </c>
      <c r="AF36" t="str">
        <f>contactsSQL('Master Table'!AF36)</f>
        <v>INSERT INTO Contact (Name, Email, Phone) SELECT 'Benoit Frederique','Benoit.Fredericque@bentley.com','' WHERE NOT EXISTS (SELECT Name FROM Contact WHERE Name = 'Benoit Frederique');</v>
      </c>
      <c r="AG36" t="str">
        <f>contactsSQL('Master Table'!AG36)</f>
        <v>INSERT INTO Contact (Name, Email, Phone) SELECT 'Benoit Frederique','Benoit.Fredericque@bentley.com','' WHERE NOT EXISTS (SELECT Name FROM Contact WHERE Name = 'Benoit Frederique');</v>
      </c>
      <c r="AH36" t="str">
        <f>contactsSQL('Master Table'!AH36)</f>
        <v>INSERT INTO Contact (Name, Email, Phone) SELECT 'Jim Barr','Jim.Barr@bentley.com','12567241520' WHERE NOT EXISTS (SELECT Name FROM Contact WHERE Name = 'Jim Barr');</v>
      </c>
      <c r="AI36" t="str">
        <f>contactsSQL('Master Table'!AI36)</f>
        <v>INSERT INTO Contact (Name, Email, Phone) SELECT 'Slavica Bozic','Slavica.Bozic@bentley.com','16302338281' WHERE NOT EXISTS (SELECT Name FROM Contact WHERE Name = 'Slavica Bozic');</v>
      </c>
      <c r="AJ36" t="str">
        <f>contactsSQL('Master Table'!AJ36)</f>
        <v>INSERT INTO Contact (Name, Email, Phone) SELECT 'Jim Newman','Jim.Newman@bentley.com','17044332566' WHERE NOT EXISTS (SELECT Name FROM Contact WHERE Name = 'Jim Newman');</v>
      </c>
      <c r="AK36" t="str">
        <f>contactsSQL('Master Table'!AK36)</f>
        <v>INSERT INTO Contact (Name, Email, Phone) SELECT 'Aaron Beazley','Aaron.Beazley@bentley.com','12898162642' WHERE NOT EXISTS (SELECT Name FROM Contact WHERE Name = 'Aaron Beazley');</v>
      </c>
      <c r="AL36" t="str">
        <f>contactsSQL('Master Table'!AL36)</f>
        <v>INSERT INTO Contact (Name, Email, Phone) SELECT 'Gijsbert Noordam','Gijsbert.Noordam@bentley.com','31235560626' WHERE NOT EXISTS (SELECT Name FROM Contact WHERE Name = 'Gijsbert Noordam');</v>
      </c>
      <c r="AM36" t="str">
        <f>contactsSQL('Master Table'!AM36)</f>
        <v>INSERT INTO Contact (Name, Email, Phone) SELECT 'Gregg Herrin','Gregg.Herrin@bentley.com','16104583188' WHERE NOT EXISTS (SELECT Name FROM Contact WHERE Name = 'Gregg Herrin');</v>
      </c>
      <c r="AN36" t="str">
        <f>contactsSQL('Master Table'!AN36)</f>
        <v>INSERT INTO Contact (Name, Email, Phone) SELECT 'Gijsbert Noordam','Gijsbert.Noordam@bentley.com','31235560626' WHERE NOT EXISTS (SELECT Name FROM Contact WHERE Name = 'Gijsbert Noordam');</v>
      </c>
      <c r="AO36" t="str">
        <f>contactsSQL('Master Table'!AO36)</f>
        <v>INSERT INTO Contact (Name, Email, Phone) SELECT 'Russell Page','Russell.Page@bentley.com','13032210689' WHERE NOT EXISTS (SELECT Name FROM Contact WHERE Name = 'Russell Page');</v>
      </c>
      <c r="AP36" t="str">
        <f>contactsSQL('Master Table'!AP36)</f>
        <v>INSERT INTO Contact (Name, Email, Phone) SELECT 'Mal Sharkey','Mal.Sharkey@bentley.com','61396978623' WHERE NOT EXISTS (SELECT Name FROM Contact WHERE Name = 'Mal Sharkey');</v>
      </c>
      <c r="AQ36" t="str">
        <f>contactsSQL('Master Table'!AQ36)</f>
        <v>INSERT INTO Contact (Name, Email, Phone) SELECT 'Aaron Beazily','Aaron.Beazley@bentley.com','12898162642' WHERE NOT EXISTS (SELECT Name FROM Contact WHERE Name = 'Aaron Beazily');</v>
      </c>
      <c r="AR36" t="str">
        <f>contactsSQL('Master Table'!AR36)</f>
        <v>INSERT INTO Contact (Name, Email, Phone) SELECT 'Jim Scott','Jim.Scott@bentley.com','13039670864' WHERE NOT EXISTS (SELECT Name FROM Contact WHERE Name = 'Jim Scott');</v>
      </c>
      <c r="AS36" t="str">
        <f>contactsSQL('Master Table'!AS36)</f>
        <v>INSERT INTO Contact (Name, Email, Phone) SELECT 'Duncan Rodger','Duncan.Rodger@bentley.com','441349865554' WHERE NOT EXISTS (SELECT Name FROM Contact WHERE Name = 'Duncan Rodger');</v>
      </c>
      <c r="AT36" t="str">
        <f>contactsSQL('Master Table'!AT36)</f>
        <v>INSERT INTO Contact (Name, Email, Phone) SELECT 'Taylor Gilmore','Taylor.Gilmore@bentley.com','14126811521' WHERE NOT EXISTS (SELECT Name FROM Contact WHERE Name = 'Taylor Gilmore');</v>
      </c>
      <c r="AU36" t="str">
        <f>contactsSQL('Master Table'!AU36)</f>
        <v>INSERT INTO Contact (Name, Email, Phone) SELECT 'Paolomee Udani','Paolomee.Udani@bentley.com','19252745107' WHERE NOT EXISTS (SELECT Name FROM Contact WHERE Name = 'Paolomee Udani');</v>
      </c>
      <c r="AV36" t="str">
        <f>contactsSQL('Master Table'!AV36)</f>
        <v>INSERT INTO Contact (Name, Email, Phone) SELECT 'Bill McNamara','Bill.McNamara@bentley.com','16104587602' WHERE NOT EXISTS (SELECT Name FROM Contact WHERE Name = 'Bill McNamara');</v>
      </c>
      <c r="AW36" t="str">
        <f>contactsSQL('Master Table'!AW36)</f>
        <v>INSERT INTO Contact (Name, Email, Phone) SELECT 'Bill McNamara','Bill.McNamara@bentley.com','16104587602' WHERE NOT EXISTS (SELECT Name FROM Contact WHERE Name = 'Bill McNamara');</v>
      </c>
      <c r="AX36" t="str">
        <f>contactsSQL('Master Table'!AX36)</f>
        <v>INSERT INTO Contact (Name, Email, Phone) SELECT 'Bill McNamara','Bill.McNamara@bentley.com','16104587602' WHERE NOT EXISTS (SELECT Name FROM Contact WHERE Name = 'Bill McNamara');</v>
      </c>
      <c r="AY36" t="str">
        <f>contactsSQL('Master Table'!AY36)</f>
        <v>INSERT INTO Contact (Name, Email, Phone) SELECT 'Bill McNamara','Bill.McNamara@bentley.com','16104587602' WHERE NOT EXISTS (SELECT Name FROM Contact WHERE Name = 'Bill McNamara');</v>
      </c>
      <c r="AZ36" t="str">
        <f>contactsSQL('Master Table'!AZ36)</f>
        <v>INSERT INTO Contact (Name, Email, Phone) SELECT 'Bill McNamara','Bill.McNamara@bentley.com','16104587602' WHERE NOT EXISTS (SELECT Name FROM Contact WHERE Name = 'Bill McNamara');</v>
      </c>
      <c r="BA36" t="str">
        <f>contactsSQL('Master Table'!BA36)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36" t="str">
        <f>contactsSQL('Master Table'!BB36)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36" t="str">
        <f>contactsSQL('Master Table'!BC36)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36" t="str">
        <f>contactsSQL('Master Table'!BD36)</f>
        <v>INSERT INTO Contact (Name, Email, Phone) SELECT 'Joe Granville','Joe.Granville@bentley.com','16104582951' WHERE NOT EXISTS (SELECT Name FROM Contact WHERE Name = 'Joe Granville');</v>
      </c>
      <c r="BE36" t="str">
        <f>contactsSQL('Master Table'!BE36)</f>
        <v>INSERT INTO Contact (Name, Email, Phone) SELECT 'Beth Buerger','Beth.Buerger@bentley.com','17205283380' WHERE NOT EXISTS (SELECT Name FROM Contact WHERE Name = 'Beth Buerger');</v>
      </c>
      <c r="BF36" t="str">
        <f>contactsSQL('Master Table'!BF36)</f>
        <v>INSERT INTO Contact (Name, Email, Phone) SELECT 'Sam Stuart','Sam.Stuart@bentley.com','' WHERE NOT EXISTS (SELECT Name FROM Contact WHERE Name = 'Sam Stuart');</v>
      </c>
      <c r="BG36" t="str">
        <f>contactsSQL('Master Table'!BG36)</f>
        <v>INSERT INTO Contact (Name, Email, Phone) SELECT 'Rimantas Varanavicius','imantas.Varanavicius@bentley.com','37052398145' WHERE NOT EXISTS (SELECT Name FROM Contact WHERE Name = 'Rimantas Varanavicius');</v>
      </c>
      <c r="BH36" t="str">
        <f>contactsSQL('Master Table'!BH36)</f>
        <v>INSERT INTO Contact (Name, Email, Phone) SELECT 'Jo Wright','Jo.Wright@bentley.com','12569701111' WHERE NOT EXISTS (SELECT Name FROM Contact WHERE Name = 'Jo Wright');</v>
      </c>
      <c r="BI36" t="str">
        <f>contactsSQL('Master Table'!BI36)</f>
        <v>INSERT INTO Contact (Name, Email, Phone) SELECT 'Jo Wright','Jo.Wright@bentley.com','12569701111' WHERE NOT EXISTS (SELECT Name FROM Contact WHERE Name = 'Jo Wright');</v>
      </c>
      <c r="BJ36" t="str">
        <f>contactsSQL('Master Table'!BJ36)</f>
        <v>INSERT INTO Contact (Name, Email, Phone) SELECT 'Jo Wright','Jo.Wright@bentley.com','12569701111' WHERE NOT EXISTS (SELECT Name FROM Contact WHERE Name = 'Jo Wright');</v>
      </c>
      <c r="BK36" t="str">
        <f>contactsSQL('Master Table'!BK36)</f>
        <v>INSERT INTO Contact (Name, Email, Phone) SELECT 'Jo Wright','Jo.Wright@bentley.com','12569701111' WHERE NOT EXISTS (SELECT Name FROM Contact WHERE Name = 'Jo Wright');</v>
      </c>
      <c r="BL36" t="str">
        <f>contactsSQL('Master Table'!BL36)</f>
        <v>INSERT INTO Contact (Name, Email, Phone) SELECT 'Jo Wright','Jo.Wright@bentley.com','12569701111' WHERE NOT EXISTS (SELECT Name FROM Contact WHERE Name = 'Jo Wright');</v>
      </c>
    </row>
    <row r="37" spans="3:64" x14ac:dyDescent="0.25">
      <c r="C37" t="str">
        <f>contactsSQL('Master Table'!C37)</f>
        <v>INSERT INTO Contact (Name, Email, Phone) SELECT 'Badr Ziane','Badreddine.Ziane@bentley.com','33155238407' WHERE NOT EXISTS (SELECT Name FROM Contact WHERE Name = 'Badr Ziane');</v>
      </c>
      <c r="D37" t="str">
        <f>contactsSQL('Master Table'!D37)</f>
        <v>INSERT INTO Contact (Name, Email, Phone) SELECT 'Richard Tully','Richard.Tully@bentley.com','442078617874' WHERE NOT EXISTS (SELECT Name FROM Contact WHERE Name = 'Richard Tully');</v>
      </c>
      <c r="E37" t="str">
        <f>contactsSQL('Master Table'!E37)</f>
        <v/>
      </c>
      <c r="F37" t="str">
        <f>contactsSQL('Master Table'!F37)</f>
        <v>INSERT INTO Contact (Name, Email, Phone) SELECT 'Geoff McDonald','Geoff.Mcdonald@bentley.com','15043025174' WHERE NOT EXISTS (SELECT Name FROM Contact WHERE Name = 'Geoff McDonald');</v>
      </c>
      <c r="G37" t="str">
        <f>contactsSQL('Master Table'!G37)</f>
        <v>INSERT INTO Contact (Name, Email, Phone) SELECT 'Ian Sevilla','Ian.Sevilla@bentley.com','61894311511' WHERE NOT EXISTS (SELECT Name FROM Contact WHERE Name = 'Ian Sevilla');</v>
      </c>
      <c r="H37" t="str">
        <f>contactsSQL('Master Table'!H37)</f>
        <v>INSERT INTO Contact (Name, Email, Phone) SELECT 'Aswin Bandaru','Aswin.Bandaru@bentley.com','17137842837' WHERE NOT EXISTS (SELECT Name FROM Contact WHERE Name = 'Aswin Bandaru');</v>
      </c>
      <c r="I37" t="str">
        <f>contactsSQL('Master Table'!I37)</f>
        <v>INSERT INTO Contact (Name, Email, Phone) SELECT 'Ignacio Almagro','Ignacio.Almagro@bentley.com','19543439336' WHERE NOT EXISTS (SELECT Name FROM Contact WHERE Name = 'Ignacio Almagro');</v>
      </c>
      <c r="J37" t="str">
        <f>contactsSQL('Master Table'!J37)</f>
        <v>INSERT INTO Contact (Name, Email, Phone) SELECT 'Vinay Mysore','Vinay.Mysore@bentley.com','91' WHERE NOT EXISTS (SELECT Name FROM Contact WHERE Name = 'Vinay Mysore');</v>
      </c>
      <c r="K37" t="str">
        <f>contactsSQL('Master Table'!K37)</f>
        <v>INSERT INTO Contact (Name, Email, Phone) SELECT 'Ignacio Almagro','Ignacio.Almagro@bentley.com','19543439336' WHERE NOT EXISTS (SELECT Name FROM Contact WHERE Name = 'Ignacio Almagro');</v>
      </c>
      <c r="L37" t="str">
        <f>contactsSQL('Master Table'!L37)</f>
        <v>INSERT INTO Contact (Name, Email, Phone) SELECT 'Ignacio Almagro','Ignacio.Almagro@bentley.com','19543439336' WHERE NOT EXISTS (SELECT Name FROM Contact WHERE Name = 'Ignacio Almagro');</v>
      </c>
      <c r="M37" t="str">
        <f>contactsSQL('Master Table'!M37)</f>
        <v>INSERT INTO Contact (Name, Email, Phone) SELECT 'Chris Croucher','Chris.Croucher@bentley.com','16103214606' WHERE NOT EXISTS (SELECT Name FROM Contact WHERE Name = 'Chris Croucher');</v>
      </c>
      <c r="N37" t="str">
        <f>contactsSQL('Master Table'!N37)</f>
        <v>INSERT INTO Contact (Name, Email, Phone) SELECT 'Mark Lill','Mark.Lill@bentley.com','498996243226' WHERE NOT EXISTS (SELECT Name FROM Contact WHERE Name = 'Mark Lill');</v>
      </c>
      <c r="O37" t="str">
        <f>contactsSQL('Master Table'!O37)</f>
        <v>INSERT INTO Contact (Name, Email, Phone) SELECT 'Steve Brown','Steve.Brown@bentley.com','44' WHERE NOT EXISTS (SELECT Name FROM Contact WHERE Name = 'Steve Brown');</v>
      </c>
      <c r="P37" t="str">
        <f>contactsSQL('Master Table'!P37)</f>
        <v>INSERT INTO Contact (Name, Email, Phone) SELECT 'Steve Brown','Steve.Brown@bentley.com','44' WHERE NOT EXISTS (SELECT Name FROM Contact WHERE Name = 'Steve Brown');</v>
      </c>
      <c r="Q37" t="str">
        <f>contactsSQL('Master Table'!Q37)</f>
        <v>INSERT INTO Contact (Name, Email, Phone) SELECT 'Kuljinder Gill','Kuljinder.Gill@bentley.com','441344742808' WHERE NOT EXISTS (SELECT Name FROM Contact WHERE Name = 'Kuljinder Gill');</v>
      </c>
      <c r="R37" t="str">
        <f>contactsSQL('Master Table'!R37)</f>
        <v>INSERT INTO Contact (Name, Email, Phone) SELECT 'Kuljinder Gill','Kuljinder.Gill@bentley.com','441344742808' WHERE NOT EXISTS (SELECT Name FROM Contact WHERE Name = 'Kuljinder Gill');</v>
      </c>
      <c r="S37" t="str">
        <f>contactsSQL('Master Table'!S37)</f>
        <v>INSERT INTO Contact (Name, Email, Phone) SELECT 'Kuljinder Gill','Kuljinder.Gill@bentley.com','441344742808' WHERE NOT EXISTS (SELECT Name FROM Contact WHERE Name = 'Kuljinder Gill');</v>
      </c>
      <c r="T37" t="str">
        <f>contactsSQL('Master Table'!T37)</f>
        <v>INSERT INTO Contact (Name, Email, Phone) SELECT 'Kuljinder Gill','Kuljinder.Gill@bentley.com','441344742808' WHERE NOT EXISTS (SELECT Name FROM Contact WHERE Name = 'Kuljinder Gill');</v>
      </c>
      <c r="U37" t="str">
        <f>contactsSQL('Master Table'!U37)</f>
        <v>INSERT INTO Contact (Name, Email, Phone) SELECT 'Kuljinder Gill','Kuljinder.Gill@bentley.com','441344742808' WHERE NOT EXISTS (SELECT Name FROM Contact WHERE Name = 'Kuljinder Gill');</v>
      </c>
      <c r="V37" t="str">
        <f>contactsSQL('Master Table'!V37)</f>
        <v>INSERT INTO Contact (Name, Email, Phone) SELECT 'Kevin McDonald','Kevin.McDonald@bentley.com','12569701123' WHERE NOT EXISTS (SELECT Name FROM Contact WHERE Name = 'Kevin McDonald');</v>
      </c>
      <c r="W37" t="str">
        <f>contactsSQL('Master Table'!W37)</f>
        <v>INSERT INTO Contact (Name, Email, Phone) SELECT 'Eva Cantarero','Eva.Cantarero@bentley.com','34913728975' WHERE NOT EXISTS (SELECT Name FROM Contact WHERE Name = 'Eva Cantarero');</v>
      </c>
      <c r="X37" t="str">
        <f>contactsSQL('Master Table'!X37)</f>
        <v>INSERT INTO Contact (Name, Email, Phone) SELECT 'Jaroslaw Sitek','Jaroslaw.Sitek@bentley.com','48225040755' WHERE NOT EXISTS (SELECT Name FROM Contact WHERE Name = 'Jaroslaw Sitek');</v>
      </c>
      <c r="Y37" t="str">
        <f>contactsSQL('Master Table'!Y37)</f>
        <v>INSERT INTO Contact (Name, Email, Phone) SELECT 'Tim Lawrence','Tim.Lawrence@bentley.com','15873158588' WHERE NOT EXISTS (SELECT Name FROM Contact WHERE Name = 'Tim Lawrence');</v>
      </c>
      <c r="Z37" t="str">
        <f>contactsSQL('Master Table'!Z37)</f>
        <v>INSERT INTO Contact (Name, Email, Phone) SELECT 'Jaroslaw Sitek','Jaroslaw.Sitek@bentley.com','48225040755' WHERE NOT EXISTS (SELECT Name FROM Contact WHERE Name = 'Jaroslaw Sitek');</v>
      </c>
      <c r="AA37" t="str">
        <f>contactsSQL('Master Table'!AA37)</f>
        <v>INSERT INTO Contact (Name, Email, Phone) SELECT 'Jaroslaw Sitek','Jaroslaw.Sitek@bentley.com','48225040755' WHERE NOT EXISTS (SELECT Name FROM Contact WHERE Name = 'Jaroslaw Sitek');</v>
      </c>
      <c r="AB37" t="str">
        <f>contactsSQL('Master Table'!AB37)</f>
        <v>INSERT INTO Contact (Name, Email, Phone) SELECT 'Alain Beland','Alain.Beland@bentley.com','14188802022' WHERE NOT EXISTS (SELECT Name FROM Contact WHERE Name = 'Alain Beland');</v>
      </c>
      <c r="AC37" t="str">
        <f>contactsSQL('Master Table'!AC37)</f>
        <v>INSERT INTO Contact (Name, Email, Phone) SELECT 'Peter Alspaugh','Peter.Alspaugh@bentley.com','18322172816' WHERE NOT EXISTS (SELECT Name FROM Contact WHERE Name = 'Peter Alspaugh');</v>
      </c>
      <c r="AD37" t="str">
        <f>contactsSQL('Master Table'!AD37)</f>
        <v>INSERT INTO Contact (Name, Email, Phone) SELECT 'Hubertus Bergmann','hubertus.bergmann@bentley.com','4962012908169' WHERE NOT EXISTS (SELECT Name FROM Contact WHERE Name = 'Hubertus Bergmann');</v>
      </c>
      <c r="AE37" t="str">
        <f>contactsSQL('Master Table'!AE37)</f>
        <v>INSERT INTO Contact (Name, Email, Phone) SELECT 'Hubertus Bergmann','hubertus.bergmann@bentley.com','4962012908169' WHERE NOT EXISTS (SELECT Name FROM Contact WHERE Name = 'Hubertus Bergmann');</v>
      </c>
      <c r="AF37" t="str">
        <f>contactsSQL('Master Table'!AF37)</f>
        <v>INSERT INTO Contact (Name, Email, Phone) SELECT 'Hubertus Bergmann','hubertus.bergmann@bentley.com','4962012908169' WHERE NOT EXISTS (SELECT Name FROM Contact WHERE Name = 'Hubertus Bergmann');</v>
      </c>
      <c r="AG37" t="str">
        <f>contactsSQL('Master Table'!AG37)</f>
        <v>INSERT INTO Contact (Name, Email, Phone) SELECT 'Hubertus Bergmann','hubertus.bergmann@bentley.com','4962012908169' WHERE NOT EXISTS (SELECT Name FROM Contact WHERE Name = 'Hubertus Bergmann');</v>
      </c>
      <c r="AH37" t="str">
        <f>contactsSQL('Master Table'!AH37)</f>
        <v>INSERT INTO Contact (Name, Email, Phone) SELECT 'Michal Lipinski','Michal.Lipinski@bentley.com','48225040671' WHERE NOT EXISTS (SELECT Name FROM Contact WHERE Name = 'Michal Lipinski');</v>
      </c>
      <c r="AI37" t="str">
        <f>contactsSQL('Master Table'!AI37)</f>
        <v>INSERT INTO Contact (Name, Email, Phone) SELECT 'Lawrence Yong','Lawrence.Yong@bentley.com','61288778803' WHERE NOT EXISTS (SELECT Name FROM Contact WHERE Name = 'Lawrence Yong');</v>
      </c>
      <c r="AJ37" t="str">
        <f>contactsSQL('Master Table'!AJ37)</f>
        <v>INSERT INTO Contact (Name, Email, Phone) SELECT 'Ralph Schopen','Ralph.Schopen@bentley.com','491607056921' WHERE NOT EXISTS (SELECT Name FROM Contact WHERE Name = 'Ralph Schopen');</v>
      </c>
      <c r="AK37" t="str">
        <f>contactsSQL('Master Table'!AK37)</f>
        <v>INSERT INTO Contact (Name, Email, Phone) SELECT 'Harrie van Mullekom','Harrie.vanMullekom@bentley.com','31235560635' WHERE NOT EXISTS (SELECT Name FROM Contact WHERE Name = 'Harrie van Mullekom');</v>
      </c>
      <c r="AL37" t="str">
        <f>contactsSQL('Master Table'!AL37)</f>
        <v>INSERT INTO Contact (Name, Email, Phone) SELECT 'Jukka Kivela','Jukka.Kivela@bentley.com','358108301229' WHERE NOT EXISTS (SELECT Name FROM Contact WHERE Name = 'Jukka Kivela');</v>
      </c>
      <c r="AM37" t="str">
        <f>contactsSQL('Master Table'!AM37)</f>
        <v>INSERT INTO Contact (Name, Email, Phone) SELECT 'Jukka Kivela','Jukka.Kivela@bentley.com','358108301229' WHERE NOT EXISTS (SELECT Name FROM Contact WHERE Name = 'Jukka Kivela');</v>
      </c>
      <c r="AN37" t="str">
        <f>contactsSQL('Master Table'!AN37)</f>
        <v>INSERT INTO Contact (Name, Email, Phone) SELECT 'Lon Opp','Lon.Opp@bentley.com','12569701127' WHERE NOT EXISTS (SELECT Name FROM Contact WHERE Name = 'Lon Opp');</v>
      </c>
      <c r="AO37" t="str">
        <f>contactsSQL('Master Table'!AO37)</f>
        <v>INSERT INTO Contact (Name, Email, Phone) SELECT 'Clive Hackforth','Clive.Hackforth@bentley.com','442078610933' WHERE NOT EXISTS (SELECT Name FROM Contact WHERE Name = 'Clive Hackforth');</v>
      </c>
      <c r="AP37" t="str">
        <f>contactsSQL('Master Table'!AP37)</f>
        <v>INSERT INTO Contact (Name, Email, Phone) SELECT 'Kristen Dietrich','Kristen.Dietrich@bentley.com','12038050414' WHERE NOT EXISTS (SELECT Name FROM Contact WHERE Name = 'Kristen Dietrich');</v>
      </c>
      <c r="AQ37" t="str">
        <f>contactsSQL('Master Table'!AQ37)</f>
        <v>INSERT INTO Contact (Name, Email, Phone) SELECT 'Joanna Slowinska','Joanna.Slowinska@bentley.com','442078610317' WHERE NOT EXISTS (SELECT Name FROM Contact WHERE Name = 'Joanna Slowinska');</v>
      </c>
      <c r="AR37" t="str">
        <f>contactsSQL('Master Table'!AR37)</f>
        <v>INSERT INTO Contact (Name, Email, Phone) SELECT 'Richard Ellis','Richard.Ellis@bentley.com','6421611832' WHERE NOT EXISTS (SELECT Name FROM Contact WHERE Name = 'Richard Ellis');</v>
      </c>
      <c r="AS37" t="str">
        <f>contactsSQL('Master Table'!AS37)</f>
        <v>INSERT INTO Contact (Name, Email, Phone) SELECT 'Neil Pickin','Neil.Pickin@bentley.com','441619731462' WHERE NOT EXISTS (SELECT Name FROM Contact WHERE Name = 'Neil Pickin');</v>
      </c>
      <c r="AT37" t="str">
        <f>contactsSQL('Master Table'!AT37)</f>
        <v>INSERT INTO Contact (Name, Email, Phone) SELECT 'Mark Mazzeo','Mark.Mazzeo@bentley.com','14122303034' WHERE NOT EXISTS (SELECT Name FROM Contact WHERE Name = 'Mark Mazzeo');</v>
      </c>
      <c r="AU37" t="str">
        <f>contactsSQL('Master Table'!AU37)</f>
        <v>INSERT INTO Contact (Name, Email, Phone) SELECT 'Paul Johnson','Paul.Johnson@bentley.com','16104583191' WHERE NOT EXISTS (SELECT Name FROM Contact WHERE Name = 'Paul Johnson');</v>
      </c>
      <c r="AV37" t="str">
        <f>contactsSQL('Master Table'!AV37)</f>
        <v>INSERT INTO Contact (Name, Email, Phone) SELECT 'Arturas Zidonis','Arturas.Zidonis@bentley.com','37052507277' WHERE NOT EXISTS (SELECT Name FROM Contact WHERE Name = 'Arturas Zidonis');</v>
      </c>
      <c r="AW37" t="str">
        <f>contactsSQL('Master Table'!AW37)</f>
        <v>INSERT INTO Contact (Name, Email, Phone) SELECT 'Justinas Verbickas','Justinas.Verbickas@bentley.com','37052503337' WHERE NOT EXISTS (SELECT Name FROM Contact WHERE Name = 'Justinas Verbickas');</v>
      </c>
      <c r="AX37" t="str">
        <f>contactsSQL('Master Table'!AX37)</f>
        <v>INSERT INTO Contact (Name, Email, Phone) SELECT 'Arturas Zidonis','Arturas.Zidonis@bentley.com','37052507277' WHERE NOT EXISTS (SELECT Name FROM Contact WHERE Name = 'Arturas Zidonis');</v>
      </c>
      <c r="AY37" t="str">
        <f>contactsSQL('Master Table'!AY37)</f>
        <v>INSERT INTO Contact (Name, Email, Phone) SELECT 'Arturas Zidonis','Arturas.Zidonis@bentley.com','37052507277' WHERE NOT EXISTS (SELECT Name FROM Contact WHERE Name = 'Arturas Zidonis');</v>
      </c>
      <c r="AZ37" t="str">
        <f>contactsSQL('Master Table'!AZ37)</f>
        <v>INSERT INTO Contact (Name, Email, Phone) SELECT 'Arturas Zidonis','Arturas.Zidonis@bentley.com','37052507277' WHERE NOT EXISTS (SELECT Name FROM Contact WHERE Name = 'Arturas Zidonis');</v>
      </c>
      <c r="BA37" t="str">
        <f>contactsSQL('Master Table'!BA37)</f>
        <v>INSERT INTO Contact (Name, Email, Phone) SELECT 'Justinas Verbickas','Justinas.Verbickas@bentley.com','37052503337' WHERE NOT EXISTS (SELECT Name FROM Contact WHERE Name = 'Justinas Verbickas');</v>
      </c>
      <c r="BB37" t="str">
        <f>contactsSQL('Master Table'!BB37)</f>
        <v>INSERT INTO Contact (Name, Email, Phone) SELECT 'Justinas Verbickas','Justinas.Verbickas@bentley.com','37052503337' WHERE NOT EXISTS (SELECT Name FROM Contact WHERE Name = 'Justinas Verbickas');</v>
      </c>
      <c r="BC37" t="str">
        <f>contactsSQL('Master Table'!BC37)</f>
        <v>INSERT INTO Contact (Name, Email, Phone) SELECT 'Justinas Verbickas','Justinas.Verbickas@bentley.com','37052503337' WHERE NOT EXISTS (SELECT Name FROM Contact WHERE Name = 'Justinas Verbickas');</v>
      </c>
      <c r="BD37" t="str">
        <f>contactsSQL('Master Table'!BD37)</f>
        <v>INSERT INTO Contact (Name, Email, Phone) SELECT 'Paul Johnson','Paul.Johnson@bentley.com','16104583191' WHERE NOT EXISTS (SELECT Name FROM Contact WHERE Name = 'Paul Johnson');</v>
      </c>
      <c r="BE37" t="str">
        <f>contactsSQL('Master Table'!BE37)</f>
        <v>INSERT INTO Contact (Name, Email, Phone) SELECT 'Paul Johnson','Paul.Johnson@bentley.com','16104583191' WHERE NOT EXISTS (SELECT Name FROM Contact WHERE Name = 'Paul Johnson');</v>
      </c>
      <c r="BF37" t="str">
        <f>contactsSQL('Master Table'!BF37)</f>
        <v>INSERT INTO Contact (Name, Email, Phone) SELECT 'Matt Starke','Matt.Starke@bentley.com','15102502118' WHERE NOT EXISTS (SELECT Name FROM Contact WHERE Name = 'Matt Starke');</v>
      </c>
      <c r="BG37" t="str">
        <f>contactsSQL('Master Table'!BG37)</f>
        <v>INSERT INTO Contact (Name, Email, Phone) SELECT 'Arturas Baranauskas','Arturas.Baranauskas@bentley.com','37052507280' WHERE NOT EXISTS (SELECT Name FROM Contact WHERE Name = 'Arturas Baranauskas');</v>
      </c>
      <c r="BH37" t="str">
        <f>contactsSQL('Master Table'!BH37)</f>
        <v>INSERT INTO Contact (Name, Email, Phone) SELECT 'Amol Sonawane','Amol.Sonawane@bentley.com','912066021201' WHERE NOT EXISTS (SELECT Name FROM Contact WHERE Name = 'Amol Sonawane');</v>
      </c>
      <c r="BI37" t="str">
        <f>contactsSQL('Master Table'!BI37)</f>
        <v>INSERT INTO Contact (Name, Email, Phone) SELECT 'Justinas Verbickas','Justinas.Verbickas@bentley.com','37052503337' WHERE NOT EXISTS (SELECT Name FROM Contact WHERE Name = 'Justinas Verbickas');</v>
      </c>
      <c r="BJ37" t="str">
        <f>contactsSQL('Master Table'!BJ37)</f>
        <v>INSERT INTO Contact (Name, Email, Phone) SELECT 'Arturas Zidonis','Arturas.Zidonis@bentley.com','37052507277' WHERE NOT EXISTS (SELECT Name FROM Contact WHERE Name = 'Arturas Zidonis');</v>
      </c>
      <c r="BK37" t="str">
        <f>contactsSQL('Master Table'!BK37)</f>
        <v>INSERT INTO Contact (Name, Email, Phone) SELECT 'Evert de Jong','Evert.deJong@bentley.com','31235560545' WHERE NOT EXISTS (SELECT Name FROM Contact WHERE Name = 'Evert de Jong');</v>
      </c>
      <c r="BL37" t="str">
        <f>contactsSQL('Master Table'!BL37)</f>
        <v>INSERT INTO Contact (Name, Email, Phone) SELECT 'Evert de Jong','Evert.deJong@bentley.com','31235560545' WHERE NOT EXISTS (SELECT Name FROM Contact WHERE Name = 'Evert de Jong');</v>
      </c>
    </row>
    <row r="38" spans="3:64" x14ac:dyDescent="0.25">
      <c r="C38" t="str">
        <f>contactsSQL('Master Table'!C38)</f>
        <v>INSERT INTO Contact (Name, Email, Phone) SELECT 'Tennyson Maimbo','Tennyson.Maimbo@bentley.com','' WHERE NOT EXISTS (SELECT Name FROM Contact WHERE Name = 'Tennyson Maimbo');</v>
      </c>
      <c r="D38" t="str">
        <f>contactsSQL('Master Table'!D38)</f>
        <v>INSERT INTO Contact (Name, Email, Phone) SELECT 'Tennyson Maimbo','Tennyson.Maimbo@bentley.com','' WHERE NOT EXISTS (SELECT Name FROM Contact WHERE Name = 'Tennyson Maimbo');</v>
      </c>
      <c r="E38" t="str">
        <f>contactsSQL('Master Table'!E38)</f>
        <v>INSERT INTO Contact (Name, Email, Phone) SELECT 'Tennyson Maimbo','Tennyson.Maimbo@bentley.com','' WHERE NOT EXISTS (SELECT Name FROM Contact WHERE Name = 'Tennyson Maimbo');</v>
      </c>
      <c r="F38" t="str">
        <f>contactsSQL('Master Table'!F38)</f>
        <v>INSERT INTO Contact (Name, Email, Phone) SELECT 'Tennyson Maimbo','Tennyson.Maimbo@bentley.com','' WHERE NOT EXISTS (SELECT Name FROM Contact WHERE Name = 'Tennyson Maimbo');</v>
      </c>
      <c r="G38" t="str">
        <f>contactsSQL('Master Table'!G38)</f>
        <v>INSERT INTO Contact (Name, Email, Phone) SELECT 'Tennyson Maimbo','Tennyson.Maimbo@bentley.com','' WHERE NOT EXISTS (SELECT Name FROM Contact WHERE Name = 'Tennyson Maimbo');</v>
      </c>
      <c r="H38" t="str">
        <f>contactsSQL('Master Table'!H38)</f>
        <v>INSERT INTO Contact (Name, Email, Phone) SELECT 'Tennyson Maimbo','Tennyson.Maimbo@bentley.com','' WHERE NOT EXISTS (SELECT Name FROM Contact WHERE Name = 'Tennyson Maimbo');</v>
      </c>
      <c r="I38" t="str">
        <f>contactsSQL('Master Table'!I38)</f>
        <v/>
      </c>
      <c r="J38" t="str">
        <f>contactsSQL('Master Table'!J38)</f>
        <v/>
      </c>
      <c r="K38" t="str">
        <f>contactsSQL('Master Table'!K38)</f>
        <v/>
      </c>
      <c r="L38" t="str">
        <f>contactsSQL('Master Table'!L38)</f>
        <v/>
      </c>
      <c r="M38" t="str">
        <f>contactsSQL('Master Table'!M38)</f>
        <v>INSERT INTO Contact (Name, Email, Phone) SELECT 'Tennyson Maimbo','Tennyson.Maimbo@bentley.com','' WHERE NOT EXISTS (SELECT Name FROM Contact WHERE Name = 'Tennyson Maimbo');</v>
      </c>
      <c r="N38" t="str">
        <f>contactsSQL('Master Table'!N38)</f>
        <v>INSERT INTO Contact (Name, Email, Phone) SELECT 'Craven Naidoo','Craven.Naidoo@bentley.com','27112533018' WHERE NOT EXISTS (SELECT Name FROM Contact WHERE Name = 'Craven Naidoo');</v>
      </c>
      <c r="O38" t="str">
        <f>contactsSQL('Master Table'!O38)</f>
        <v>INSERT INTO Contact (Name, Email, Phone) SELECT 'Craven Naidoo','Craven.Naidoo@bentley.com','27112533018' WHERE NOT EXISTS (SELECT Name FROM Contact WHERE Name = 'Craven Naidoo');</v>
      </c>
      <c r="P38" t="str">
        <f>contactsSQL('Master Table'!P38)</f>
        <v>INSERT INTO Contact (Name, Email, Phone) SELECT 'Craven Naidoo','Craven.Naidoo@bentley.com','27112533018' WHERE NOT EXISTS (SELECT Name FROM Contact WHERE Name = 'Craven Naidoo');</v>
      </c>
      <c r="Q38" t="str">
        <f>contactsSQL('Master Table'!Q38)</f>
        <v>INSERT INTO Contact (Name, Email, Phone) SELECT 'Rick Black','Rick.Black@bentley.com','442078610924' WHERE NOT EXISTS (SELECT Name FROM Contact WHERE Name = 'Rick Black');</v>
      </c>
      <c r="R38" t="str">
        <f>contactsSQL('Master Table'!R38)</f>
        <v>INSERT INTO Contact (Name, Email, Phone) SELECT 'Craven Naidoo','Craven.Naidoo@bentley.com','27112533018' WHERE NOT EXISTS (SELECT Name FROM Contact WHERE Name = 'Craven Naidoo');</v>
      </c>
      <c r="S38" t="str">
        <f>contactsSQL('Master Table'!S38)</f>
        <v>INSERT INTO Contact (Name, Email, Phone) SELECT 'Craven Naidoo','Craven.Naidoo@bentley.com','27112533018' WHERE NOT EXISTS (SELECT Name FROM Contact WHERE Name = 'Craven Naidoo');</v>
      </c>
      <c r="T38" t="str">
        <f>contactsSQL('Master Table'!T38)</f>
        <v>INSERT INTO Contact (Name, Email, Phone) SELECT 'Craven Naidoo','Craven.Naidoo@bentley.com','27112533018' WHERE NOT EXISTS (SELECT Name FROM Contact WHERE Name = 'Craven Naidoo');</v>
      </c>
      <c r="U38" t="str">
        <f>contactsSQL('Master Table'!U38)</f>
        <v>INSERT INTO Contact (Name, Email, Phone) SELECT 'Craven Naidoo','Craven.Naidoo@bentley.com','27112533018' WHERE NOT EXISTS (SELECT Name FROM Contact WHERE Name = 'Craven Naidoo');</v>
      </c>
      <c r="V38" t="str">
        <f>contactsSQL('Master Table'!V38)</f>
        <v>INSERT INTO Contact (Name, Email, Phone) SELECT 'Craven Naidoo','Craven.Naidoo@bentley.com','27112533018' WHERE NOT EXISTS (SELECT Name FROM Contact WHERE Name = 'Craven Naidoo');</v>
      </c>
      <c r="W38" t="str">
        <f>contactsSQL('Master Table'!W38)</f>
        <v>INSERT INTO Contact (Name, Email, Phone) SELECT 'Craven Naidoo','Craven.Naidoo@bentley.com','27112533018' WHERE NOT EXISTS (SELECT Name FROM Contact WHERE Name = 'Craven Naidoo');</v>
      </c>
      <c r="X38" t="str">
        <f>contactsSQL('Master Table'!X38)</f>
        <v>INSERT INTO Contact (Name, Email, Phone) SELECT 'Craven Naidoo','Craven.Naidoo@bentley.com','27112533018' WHERE NOT EXISTS (SELECT Name FROM Contact WHERE Name = 'Craven Naidoo');</v>
      </c>
      <c r="Y38" t="str">
        <f>contactsSQL('Master Table'!Y38)</f>
        <v>INSERT INTO Contact (Name, Email, Phone) SELECT 'Craven Naidoo','Craven.Naidoo@bentley.com','27112533018' WHERE NOT EXISTS (SELECT Name FROM Contact WHERE Name = 'Craven Naidoo');</v>
      </c>
      <c r="Z38" t="str">
        <f>contactsSQL('Master Table'!Z38)</f>
        <v>INSERT INTO Contact (Name, Email, Phone) SELECT 'Craven Naidoo','Craven.Naidoo@bentley.com','27112533018' WHERE NOT EXISTS (SELECT Name FROM Contact WHERE Name = 'Craven Naidoo');</v>
      </c>
      <c r="AA38" t="str">
        <f>contactsSQL('Master Table'!AA38)</f>
        <v>INSERT INTO Contact (Name, Email, Phone) SELECT 'Craven Naidoo','Craven.Naidoo@bentley.com','27112533018' WHERE NOT EXISTS (SELECT Name FROM Contact WHERE Name = 'Craven Naidoo');</v>
      </c>
      <c r="AB38" t="str">
        <f>contactsSQL('Master Table'!AB38)</f>
        <v>INSERT INTO Contact (Name, Email, Phone) SELECT 'Craven Naidoo','Craven.Naidoo@bentley.com','27112533018' WHERE NOT EXISTS (SELECT Name FROM Contact WHERE Name = 'Craven Naidoo');</v>
      </c>
      <c r="AC38" t="str">
        <f>contactsSQL('Master Table'!AC38)</f>
        <v>INSERT INTO Contact (Name, Email, Phone) SELECT 'Craven Naidoo','Craven.Naidoo@bentley.com','27112533018' WHERE NOT EXISTS (SELECT Name FROM Contact WHERE Name = 'Craven Naidoo');</v>
      </c>
      <c r="AD38" t="str">
        <f>contactsSQL('Master Table'!AD38)</f>
        <v>INSERT INTO Contact (Name, Email, Phone) SELECT 'Craven Naidoo','Craven.Naidoo@bentley.com','27112533018' WHERE NOT EXISTS (SELECT Name FROM Contact WHERE Name = 'Craven Naidoo');</v>
      </c>
      <c r="AE38" t="str">
        <f>contactsSQL('Master Table'!AE38)</f>
        <v>INSERT INTO Contact (Name, Email, Phone) SELECT 'Craven Naidoo','Craven.Naidoo@bentley.com','27112533018' WHERE NOT EXISTS (SELECT Name FROM Contact WHERE Name = 'Craven Naidoo');</v>
      </c>
      <c r="AF38" t="str">
        <f>contactsSQL('Master Table'!AF38)</f>
        <v>INSERT INTO Contact (Name, Email, Phone) SELECT 'Craven Naidoo','Craven.Naidoo@bentley.com','27112533018' WHERE NOT EXISTS (SELECT Name FROM Contact WHERE Name = 'Craven Naidoo');</v>
      </c>
      <c r="AG38" t="str">
        <f>contactsSQL('Master Table'!AG38)</f>
        <v>INSERT INTO Contact (Name, Email, Phone) SELECT 'Craven Naidoo','Craven.Naidoo@bentley.com','27112533018' WHERE NOT EXISTS (SELECT Name FROM Contact WHERE Name = 'Craven Naidoo');</v>
      </c>
      <c r="AH38" t="str">
        <f>contactsSQL('Master Table'!AH38)</f>
        <v>INSERT INTO Contact (Name, Email, Phone) SELECT 'Craven Naidoo','Craven.Naidoo@bentley.com','27112533018' WHERE NOT EXISTS (SELECT Name FROM Contact WHERE Name = 'Craven Naidoo');</v>
      </c>
      <c r="AI38" t="str">
        <f>contactsSQL('Master Table'!AI38)</f>
        <v>INSERT INTO Contact (Name, Email, Phone) SELECT 'Rick Black','Rick.Black@bentley.com','442078610924' WHERE NOT EXISTS (SELECT Name FROM Contact WHERE Name = 'Rick Black');</v>
      </c>
      <c r="AJ38" t="str">
        <f>contactsSQL('Master Table'!AJ38)</f>
        <v>INSERT INTO Contact (Name, Email, Phone) SELECT 'Freek Verhoef','Freek.Verhoef@bentley.com','27794964032' WHERE NOT EXISTS (SELECT Name FROM Contact WHERE Name = 'Freek Verhoef');</v>
      </c>
      <c r="AK38" t="str">
        <f>contactsSQL('Master Table'!AK38)</f>
        <v>INSERT INTO Contact (Name, Email, Phone) SELECT 'David Smith','David.Smith@bentley.com','441349865554' WHERE NOT EXISTS (SELECT Name FROM Contact WHERE Name = 'David Smith');</v>
      </c>
      <c r="AL38" t="str">
        <f>contactsSQL('Master Table'!AL38)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M38" t="str">
        <f>contactsSQL('Master Table'!AM38)</f>
        <v>INSERT INTO Contact (Name, Email, Phone) SELECT 'Henry vanTonder','Henry.vanTonder@bentley.com','270112533022' WHERE NOT EXISTS (SELECT Name FROM Contact WHERE Name = 'Henry vanTonder');</v>
      </c>
      <c r="AN38" t="str">
        <f>contactsSQL('Master Table'!AN38)</f>
        <v>INSERT INTO Contact (Name, Email, Phone) SELECT 'Frederick Boersma','Frederik.Boersma@bentley.com','31235560624' WHERE NOT EXISTS (SELECT Name FROM Contact WHERE Name = 'Frederick Boersma');INSERT INTO Contact (Name, Email, Phone) SELECT 'Ton de Vries','Ton.deVries@bentley.com','16104584191' WHERE NOT EXISTS (SELECT Name FROM Contact WHERE Name = 'Ton de Vries');</v>
      </c>
      <c r="AO38" t="str">
        <f>contactsSQL('Master Table'!AO38)</f>
        <v>INSERT INTO Contact (Name, Email, Phone) SELECT 'Russell Page','Russell.Page@bentley.com','13032210689' WHERE NOT EXISTS (SELECT Name FROM Contact WHERE Name = 'Russell Page');INSERT INTO Contact (Name, Email, Phone) SELECT 'Julian Earnshaw','Julian.Earnshaw@bentley.com','442078610916' WHERE NOT EXISTS (SELECT Name FROM Contact WHERE Name = 'Julian Earnshaw');</v>
      </c>
      <c r="AP38" t="str">
        <f>contactsSQL('Master Table'!AP38)</f>
        <v>INSERT INTO Contact (Name, Email, Phone) SELECT 'Muhanned Shaweesh','Muhannad.Shaweesh@bentley.com','96265679300' WHERE NOT EXISTS (SELECT Name FROM Contact WHERE Name = 'Muhanned Shaweesh');</v>
      </c>
      <c r="AQ38" t="str">
        <f>contactsSQL('Master Table'!AQ38)</f>
        <v>INSERT INTO Contact (Name, Email, Phone) SELECT 'Travis Ritter','Travis.Ritter@bentley.com','18138301212' WHERE NOT EXISTS (SELECT Name FROM Contact WHERE Name = 'Travis Ritter');INSERT INTO Contact (Name, Email, Phone) SELECT 'Andrew Smith','Andrew.Smith@bentley.com','442078610300' WHERE NOT EXISTS (SELECT Name FROM Contact WHERE Name = 'Andrew Smith');</v>
      </c>
      <c r="AR38" t="str">
        <f>contactsSQL('Master Table'!AR38)</f>
        <v>INSERT INTO Contact (Name, Email, Phone) SELECT 'Dan Vogen','Dan.Vogen@bentley.com','16309816500' WHERE NOT EXISTS (SELECT Name FROM Contact WHERE Name = 'Dan Vogen');</v>
      </c>
      <c r="AS38" t="str">
        <f>contactsSQL('Master Table'!AS38)</f>
        <v>INSERT INTO Contact (Name, Email, Phone) SELECT 'David Smith','David.Smith@bentley.com','441349865554' WHERE NOT EXISTS (SELECT Name FROM Contact WHERE Name = 'David Smith');</v>
      </c>
      <c r="AT38" t="str">
        <f>contactsSQL('Master Table'!AT38)</f>
        <v>INSERT INTO Contact (Name, Email, Phone) SELECT 'Ben Witter','Ben.Witter@bentley.com','12676642491' WHERE NOT EXISTS (SELECT Name FROM Contact WHERE Name = 'Ben Witter');</v>
      </c>
      <c r="AU38" t="str">
        <f>contactsSQL('Master Table'!AU38)</f>
        <v>INSERT INTO Contact (Name, Email, Phone) SELECT 'Eric Crivella','Eric.Crivella@bentley.com','18322172802' WHERE NOT EXISTS (SELECT Name FROM Contact WHERE Name = 'Eric Crivella');</v>
      </c>
      <c r="AV38" t="str">
        <f>contactsSQL('Master Table'!AV38)</f>
        <v>INSERT INTO Contact (Name, Email, Phone) SELECT 'Vivek Kale','Vivek.Kale@bentley.com','97143826027' WHERE NOT EXISTS (SELECT Name FROM Contact WHERE Name = 'Vivek Kale');</v>
      </c>
      <c r="AW38" t="str">
        <f>contactsSQL('Master Table'!AW38)</f>
        <v>INSERT INTO Contact (Name, Email, Phone) SELECT 'Vivek Kale','Vivek.Kale@bentley.com','97143826027' WHERE NOT EXISTS (SELECT Name FROM Contact WHERE Name = 'Vivek Kale');</v>
      </c>
      <c r="AX38" t="str">
        <f>contactsSQL('Master Table'!AX38)</f>
        <v>INSERT INTO Contact (Name, Email, Phone) SELECT 'Vivek Kale','Vivek.Kale@bentley.com','97143826027' WHERE NOT EXISTS (SELECT Name FROM Contact WHERE Name = 'Vivek Kale');</v>
      </c>
      <c r="AY38" t="str">
        <f>contactsSQL('Master Table'!AY38)</f>
        <v>INSERT INTO Contact (Name, Email, Phone) SELECT 'Vivek Kale','Vivek.Kale@bentley.com','97143826027' WHERE NOT EXISTS (SELECT Name FROM Contact WHERE Name = 'Vivek Kale');</v>
      </c>
      <c r="AZ38" t="str">
        <f>contactsSQL('Master Table'!AZ38)</f>
        <v>INSERT INTO Contact (Name, Email, Phone) SELECT 'Vivek Kale','Vivek.Kale@bentley.com','97143826027' WHERE NOT EXISTS (SELECT Name FROM Contact WHERE Name = 'Vivek Kale');</v>
      </c>
      <c r="BA38" t="str">
        <f>contactsSQL('Master Table'!BA38)</f>
        <v>INSERT INTO Contact (Name, Email, Phone) SELECT 'Vivek Kale','Vivek.Kale@bentley.com','97143826027' WHERE NOT EXISTS (SELECT Name FROM Contact WHERE Name = 'Vivek Kale');</v>
      </c>
      <c r="BB38" t="str">
        <f>contactsSQL('Master Table'!BB38)</f>
        <v>INSERT INTO Contact (Name, Email, Phone) SELECT 'Vivek Kale','Vivek.Kale@bentley.com','97143826027' WHERE NOT EXISTS (SELECT Name FROM Contact WHERE Name = 'Vivek Kale');</v>
      </c>
      <c r="BC38" t="str">
        <f>contactsSQL('Master Table'!BC38)</f>
        <v>INSERT INTO Contact (Name, Email, Phone) SELECT 'Vivek Kale','Vivek.Kale@bentley.com','97143826027' WHERE NOT EXISTS (SELECT Name FROM Contact WHERE Name = 'Vivek Kale');</v>
      </c>
      <c r="BD38" t="str">
        <f>contactsSQL('Master Table'!BD38)</f>
        <v>INSERT INTO Contact (Name, Email, Phone) SELECT 'Ashish Kumar','Ashish.Kumar@bentley.com','97143826008' WHERE NOT EXISTS (SELECT Name FROM Contact WHERE Name = 'Ashish Kumar');</v>
      </c>
      <c r="BE38" t="str">
        <f>contactsSQL('Master Table'!BE38)</f>
        <v>INSERT INTO Contact (Name, Email, Phone) SELECT 'Eric Crivella','Eric.Crivella@bentley.com','18322172802' WHERE NOT EXISTS (SELECT Name FROM Contact WHERE Name = 'Eric Crivella');</v>
      </c>
      <c r="BF38" t="str">
        <f>contactsSQL('Master Table'!BF38)</f>
        <v>INSERT INTO Contact (Name, Email, Phone) SELECT 'Eric Law','Eric.Law@bentley.com','15102502114' WHERE NOT EXISTS (SELECT Name FROM Contact WHERE Name = 'Eric Law');</v>
      </c>
      <c r="BG38" t="str">
        <f>contactsSQL('Master Table'!BG38)</f>
        <v>INSERT INTO Contact (Name, Email, Phone) SELECT 'Vivek Kale','Vivek.Kale@bentley.com','97143826027' WHERE NOT EXISTS (SELECT Name FROM Contact WHERE Name = 'Vivek Kale');</v>
      </c>
      <c r="BH38" t="str">
        <f>contactsSQL('Master Table'!BH38)</f>
        <v>INSERT INTO Contact (Name, Email, Phone) SELECT 'Vivek Kale','Vivek.Kale@bentley.com','97143826027' WHERE NOT EXISTS (SELECT Name FROM Contact WHERE Name = 'Vivek Kale');</v>
      </c>
      <c r="BI38" t="str">
        <f>contactsSQL('Master Table'!BI38)</f>
        <v>INSERT INTO Contact (Name, Email, Phone) SELECT 'Vivek Kale','Vivek.Kale@bentley.com','97143826027' WHERE NOT EXISTS (SELECT Name FROM Contact WHERE Name = 'Vivek Kale');</v>
      </c>
      <c r="BJ38" t="str">
        <f>contactsSQL('Master Table'!BJ38)</f>
        <v>INSERT INTO Contact (Name, Email, Phone) SELECT 'Vivek Kale','Vivek.Kale@bentley.com','97143826027' WHERE NOT EXISTS (SELECT Name FROM Contact WHERE Name = 'Vivek Kale');</v>
      </c>
      <c r="BK38" t="str">
        <f>contactsSQL('Master Table'!BK38)</f>
        <v>INSERT INTO Contact (Name, Email, Phone) SELECT 'Vivek Kale','Vivek.Kale@bentley.com','97143826027' WHERE NOT EXISTS (SELECT Name FROM Contact WHERE Name = 'Vivek Kale');</v>
      </c>
      <c r="BL38" t="str">
        <f>contactsSQL('Master Table'!BL38)</f>
        <v>INSERT INTO Contact (Name, Email, Phone) SELECT 'Vivek Kale','Vivek.Kale@bentley.com','97143826027' WHERE NOT EXISTS (SELECT Name FROM Contact WHERE Name = 'Vivek Kale');</v>
      </c>
    </row>
    <row r="39" spans="3:64" x14ac:dyDescent="0.25">
      <c r="C39" t="str">
        <f>contactsSQL('Master Table'!C39)</f>
        <v>INSERT INTO Contact (Name, Email, Phone) SELECT 'Carlos Aguera','Carlos.Aguera@bentley.com','442078610973' WHERE NOT EXISTS (SELECT Name FROM Contact WHERE Name = 'Carlos Aguera');</v>
      </c>
      <c r="D39" t="str">
        <f>contactsSQL('Master Table'!D39)</f>
        <v>INSERT INTO Contact (Name, Email, Phone) SELECT 'Allen Adams','Allen.Adams@bentley.com','17604313610' WHERE NOT EXISTS (SELECT Name FROM Contact WHERE Name = 'Allen Adams');</v>
      </c>
      <c r="E39" t="str">
        <f>contactsSQL('Master Table'!E39)</f>
        <v>INSERT INTO Contact (Name, Email, Phone) SELECT 'Luke Andrew','Luke.Andrew@bentley.com','16103216496' WHERE NOT EXISTS (SELECT Name FROM Contact WHERE Name = 'Luke Andrew');INSERT INTO Contact (Name, Email, Phone) SELECT 'Sudip Goswami','Sudipto.Goswami@bentley.com','913340183150' WHERE NOT EXISTS (SELECT Name FROM Contact WHERE Name = 'Sudip Goswami');</v>
      </c>
      <c r="F39" t="str">
        <f>contactsSQL('Master Table'!F39)</f>
        <v>INSERT INTO Contact (Name, Email, Phone) SELECT 'Parvinder Jhita','Parvinder.Jhita@bentley.com','1' WHERE NOT EXISTS (SELECT Name FROM Contact WHERE Name = 'Parvinder Jhita');</v>
      </c>
      <c r="G39" t="str">
        <f>contactsSQL('Master Table'!G39)</f>
        <v>INSERT INTO Contact (Name, Email, Phone) SELECT 'Pat Couser','Pat.Couser@bentley.com','' WHERE NOT EXISTS (SELECT Name FROM Contact WHERE Name = 'Pat Couser');</v>
      </c>
      <c r="H39" t="str">
        <f>contactsSQL('Master Table'!H39)</f>
        <v>INSERT INTO Contact (Name, Email, Phone) SELECT 'Georgina Maldonado','Georgina.Maldonado@bentley.com','7133608369' WHERE NOT EXISTS (SELECT Name FROM Contact WHERE Name = 'Georgina Maldonado');</v>
      </c>
      <c r="I39" t="str">
        <f>contactsSQL('Master Table'!I39)</f>
        <v>INSERT INTO Contact (Name, Email, Phone) SELECT 'Gregor Strekelj','Gregor.Strekelj@bentley.com','4331682153165' WHERE NOT EXISTS (SELECT Name FROM Contact WHERE Name = 'Gregor Strekelj');</v>
      </c>
      <c r="J39" t="str">
        <f>contactsSQL('Master Table'!J39)</f>
        <v>INSERT INTO Contact (Name, Email, Phone) SELECT 'Xin Luo','Xin.Luo@bentley.com','19543439359' WHERE NOT EXISTS (SELECT Name FROM Contact WHERE Name = 'Xin Luo');</v>
      </c>
      <c r="K39" t="str">
        <f>contactsSQL('Master Table'!K39)</f>
        <v>INSERT INTO Contact (Name, Email, Phone) SELECT 'Sri Kanneganti','Sri.Kanneganti@bentley.com','19543439325' WHERE NOT EXISTS (SELECT Name FROM Contact WHERE Name = 'Sri Kanneganti');</v>
      </c>
      <c r="L39" t="str">
        <f>contactsSQL('Master Table'!L39)</f>
        <v>INSERT INTO Contact (Name, Email, Phone) SELECT 'Bill Beyer','Bill.Beyer@bentley.com','18166667568' WHERE NOT EXISTS (SELECT Name FROM Contact WHERE Name = 'Bill Beyer');</v>
      </c>
      <c r="M39" t="str">
        <f>contactsSQL('Master Table'!M39)</f>
        <v>INSERT INTO Contact (Name, Email, Phone) SELECT 'David Settlemeyer','David.Settlemyer@bentley.com','16103214610' WHERE NOT EXISTS (SELECT Name FROM Contact WHERE Name = 'David Settlemeyer');</v>
      </c>
      <c r="N39" t="str">
        <f>contactsSQL('Master Table'!N39)</f>
        <v>INSERT INTO Contact (Name, Email, Phone) SELECT 'Andy Smith','Andy.Smith@bentley.com','7046630319' WHERE NOT EXISTS (SELECT Name FROM Contact WHERE Name = 'Andy Smith');</v>
      </c>
      <c r="O39" t="str">
        <f>contactsSQL('Master Table'!O39)</f>
        <v>INSERT INTO Contact (Name, Email, Phone) SELECT 'Andy Smith','Andy.Smith@bentley.com','7046630319' WHERE NOT EXISTS (SELECT Name FROM Contact WHERE Name = 'Andy Smith');</v>
      </c>
      <c r="P39" t="str">
        <f>contactsSQL('Master Table'!P39)</f>
        <v>INSERT INTO Contact (Name, Email, Phone) SELECT 'Paul Demetriou','Paul.Demetriou@bentley.com','12088879204' WHERE NOT EXISTS (SELECT Name FROM Contact WHERE Name = 'Paul Demetriou');</v>
      </c>
      <c r="Q39" t="str">
        <f>contactsSQL('Master Table'!Q39)</f>
        <v>INSERT INTO Contact (Name, Email, Phone) SELECT 'Ian Rosam','Ian.Rosam@bentley.com','442078610313' WHERE NOT EXISTS (SELECT Name FROM Contact WHERE Name = 'Ian Rosam');</v>
      </c>
      <c r="R39" t="str">
        <f>contactsSQL('Master Table'!R39)</f>
        <v>INSERT INTO Contact (Name, Email, Phone) SELECT 'Ian Rosam','Ian.Rosam@bentley.com','442078610313' WHERE NOT EXISTS (SELECT Name FROM Contact WHERE Name = 'Ian Rosam');</v>
      </c>
      <c r="S39" t="str">
        <f>contactsSQL('Master Table'!S39)</f>
        <v>INSERT INTO Contact (Name, Email, Phone) SELECT 'Ian Rosam','Ian.Rosam@bentley.com','442078610313' WHERE NOT EXISTS (SELECT Name FROM Contact WHERE Name = 'Ian Rosam');</v>
      </c>
      <c r="T39" t="str">
        <f>contactsSQL('Master Table'!T39)</f>
        <v>INSERT INTO Contact (Name, Email, Phone) SELECT 'Kivanc Karakas','Kivanc.Karakas@bentley.com','442078610339' WHERE NOT EXISTS (SELECT Name FROM Contact WHERE Name = 'Kivanc Karakas');</v>
      </c>
      <c r="U39" t="str">
        <f>contactsSQL('Master Table'!U39)</f>
        <v>INSERT INTO Contact (Name, Email, Phone) SELECT 'Ian Rosam','Ian.Rosam@bentley.com','442078610313' WHERE NOT EXISTS (SELECT Name FROM Contact WHERE Name = 'Ian Rosam');</v>
      </c>
      <c r="V39" t="str">
        <f>contactsSQL('Master Table'!V39)</f>
        <v>INSERT INTO Contact (Name, Email, Phone) SELECT 'Francois Valois','Francois.Valois@bentley.com','15817817522' WHERE NOT EXISTS (SELECT Name FROM Contact WHERE Name = 'Francois Valois');</v>
      </c>
      <c r="W39" t="str">
        <f>contactsSQL('Master Table'!W39)</f>
        <v>INSERT INTO Contact (Name, Email, Phone) SELECT 'Nicolas Loubier','Nicolas.Loubier@bentley.com','15817817567' WHERE NOT EXISTS (SELECT Name FROM Contact WHERE Name = 'Nicolas Loubier');</v>
      </c>
      <c r="X39" t="str">
        <f>contactsSQL('Master Table'!X39)</f>
        <v>INSERT INTO Contact (Name, Email, Phone) SELECT 'Adnan Ulhaq','Adnan.Ulhaq@bentley.com','92512078422' WHERE NOT EXISTS (SELECT Name FROM Contact WHERE Name = 'Adnan Ulhaq');</v>
      </c>
      <c r="Y39" t="str">
        <f>contactsSQL('Master Table'!Y39)</f>
        <v>INSERT INTO Contact (Name, Email, Phone) SELECT 'Tim Lawrence','Tim.Lawrence@bentley.com','15873158588' WHERE NOT EXISTS (SELECT Name FROM Contact WHERE Name = 'Tim Lawrence');</v>
      </c>
      <c r="Z39" t="str">
        <f>contactsSQL('Master Table'!Z39)</f>
        <v>INSERT INTO Contact (Name, Email, Phone) SELECT 'Abbas Ali','','16104583160' WHERE NOT EXISTS (SELECT Name FROM Contact WHERE Name = 'Abbas Ali');</v>
      </c>
      <c r="AA39" t="str">
        <f>contactsSQL('Master Table'!AA39)</f>
        <v>INSERT INTO Contact (Name, Email, Phone) SELECT 'Rob Harper','Rob.Harper@bentley.com','17137303385' WHERE NOT EXISTS (SELECT Name FROM Contact WHERE Name = 'Rob Harper');</v>
      </c>
      <c r="AB39" t="str">
        <f>contactsSQL('Master Table'!AB39)</f>
        <v>INSERT INTO Contact (Name, Email, Phone) SELECT 'Alain Beland','Alain.Beland@bentley.com','14188802022' WHERE NOT EXISTS (SELECT Name FROM Contact WHERE Name = 'Alain Beland');</v>
      </c>
      <c r="AC39" t="str">
        <f>contactsSQL('Master Table'!AC39)</f>
        <v>INSERT INTO Contact (Name, Email, Phone) SELECT 'Tim Lawrence','Tim.Lawrence@bentley.com','15873158588' WHERE NOT EXISTS (SELECT Name FROM Contact WHERE Name = 'Tim Lawrence');</v>
      </c>
      <c r="AD39" t="str">
        <f>contactsSQL('Master Table'!AD39)</f>
        <v>INSERT INTO Contact (Name, Email, Phone) SELECT 'Benoit Frederique','Benoit.Fredericque@bentley.com','' WHERE NOT EXISTS (SELECT Name FROM Contact WHERE Name = 'Benoit Frederique');</v>
      </c>
      <c r="AE39" t="str">
        <f>contactsSQL('Master Table'!AE39)</f>
        <v>INSERT INTO Contact (Name, Email, Phone) SELECT 'Benoit Frederique','Benoit.Fredericque@bentley.com','' WHERE NOT EXISTS (SELECT Name FROM Contact WHERE Name = 'Benoit Frederique');</v>
      </c>
      <c r="AF39" t="str">
        <f>contactsSQL('Master Table'!AF39)</f>
        <v>INSERT INTO Contact (Name, Email, Phone) SELECT 'Benoit Frederique','Benoit.Fredericque@bentley.com','' WHERE NOT EXISTS (SELECT Name FROM Contact WHERE Name = 'Benoit Frederique');</v>
      </c>
      <c r="AG39" t="str">
        <f>contactsSQL('Master Table'!AG39)</f>
        <v>INSERT INTO Contact (Name, Email, Phone) SELECT 'Benoit Frederique','Benoit.Fredericque@bentley.com','' WHERE NOT EXISTS (SELECT Name FROM Contact WHERE Name = 'Benoit Frederique');</v>
      </c>
      <c r="AH39" t="str">
        <f>contactsSQL('Master Table'!AH39)</f>
        <v>INSERT INTO Contact (Name, Email, Phone) SELECT 'Jim Barr','Jim.Barr@bentley.com','12567241520' WHERE NOT EXISTS (SELECT Name FROM Contact WHERE Name = 'Jim Barr');</v>
      </c>
      <c r="AI39" t="str">
        <f>contactsSQL('Master Table'!AI39)</f>
        <v>INSERT INTO Contact (Name, Email, Phone) SELECT 'Slavica Bozic','Slavica.Bozic@bentley.com','16302338281' WHERE NOT EXISTS (SELECT Name FROM Contact WHERE Name = 'Slavica Bozic');</v>
      </c>
      <c r="AJ39" t="str">
        <f>contactsSQL('Master Table'!AJ39)</f>
        <v>INSERT INTO Contact (Name, Email, Phone) SELECT 'Jim Newman','Jim.Newman@bentley.com','17044332566' WHERE NOT EXISTS (SELECT Name FROM Contact WHERE Name = 'Jim Newman');</v>
      </c>
      <c r="AK39" t="str">
        <f>contactsSQL('Master Table'!AK39)</f>
        <v>INSERT INTO Contact (Name, Email, Phone) SELECT 'Aaron Beazley','Aaron.Beazley@bentley.com','12898162642' WHERE NOT EXISTS (SELECT Name FROM Contact WHERE Name = 'Aaron Beazley');</v>
      </c>
      <c r="AL39" t="str">
        <f>contactsSQL('Master Table'!AL39)</f>
        <v>INSERT INTO Contact (Name, Email, Phone) SELECT 'Gijsbert Noordam','Gijsbert.Noordam@bentley.com','31235560626' WHERE NOT EXISTS (SELECT Name FROM Contact WHERE Name = 'Gijsbert Noordam');</v>
      </c>
      <c r="AM39" t="str">
        <f>contactsSQL('Master Table'!AM39)</f>
        <v>INSERT INTO Contact (Name, Email, Phone) SELECT 'Gregg Herrin','Gregg.Herrin@bentley.com','16104583188' WHERE NOT EXISTS (SELECT Name FROM Contact WHERE Name = 'Gregg Herrin');</v>
      </c>
      <c r="AN39" t="str">
        <f>contactsSQL('Master Table'!AN39)</f>
        <v>INSERT INTO Contact (Name, Email, Phone) SELECT 'Gijsbert Noordam','Gijsbert.Noordam@bentley.com','31235560626' WHERE NOT EXISTS (SELECT Name FROM Contact WHERE Name = 'Gijsbert Noordam');</v>
      </c>
      <c r="AO39" t="str">
        <f>contactsSQL('Master Table'!AO39)</f>
        <v>INSERT INTO Contact (Name, Email, Phone) SELECT 'Russell Page','Russell.Page@bentley.com','13032210689' WHERE NOT EXISTS (SELECT Name FROM Contact WHERE Name = 'Russell Page');</v>
      </c>
      <c r="AP39" t="str">
        <f>contactsSQL('Master Table'!AP39)</f>
        <v>INSERT INTO Contact (Name, Email, Phone) SELECT 'Mal Sharkey','Mal.Sharkey@bentley.com','61396978623' WHERE NOT EXISTS (SELECT Name FROM Contact WHERE Name = 'Mal Sharkey');</v>
      </c>
      <c r="AQ39" t="str">
        <f>contactsSQL('Master Table'!AQ39)</f>
        <v>INSERT INTO Contact (Name, Email, Phone) SELECT 'Aaron Beazily','Aaron.Beazley@bentley.com','12898162642' WHERE NOT EXISTS (SELECT Name FROM Contact WHERE Name = 'Aaron Beazily');</v>
      </c>
      <c r="AR39" t="str">
        <f>contactsSQL('Master Table'!AR39)</f>
        <v>INSERT INTO Contact (Name, Email, Phone) SELECT 'Jim Scott','Jim.Scott@bentley.com','13039670864' WHERE NOT EXISTS (SELECT Name FROM Contact WHERE Name = 'Jim Scott');</v>
      </c>
      <c r="AS39" t="str">
        <f>contactsSQL('Master Table'!AS39)</f>
        <v>INSERT INTO Contact (Name, Email, Phone) SELECT 'Duncan Rodger','Duncan.Rodger@bentley.com','441349865554' WHERE NOT EXISTS (SELECT Name FROM Contact WHERE Name = 'Duncan Rodger');</v>
      </c>
      <c r="AT39" t="str">
        <f>contactsSQL('Master Table'!AT39)</f>
        <v>INSERT INTO Contact (Name, Email, Phone) SELECT 'Taylor Gilmore','Taylor.Gilmore@bentley.com','14126811521' WHERE NOT EXISTS (SELECT Name FROM Contact WHERE Name = 'Taylor Gilmore');</v>
      </c>
      <c r="AU39" t="str">
        <f>contactsSQL('Master Table'!AU39)</f>
        <v>INSERT INTO Contact (Name, Email, Phone) SELECT 'Paolomee Udani','Paolomee.Udani@bentley.com','19252745107' WHERE NOT EXISTS (SELECT Name FROM Contact WHERE Name = 'Paolomee Udani');</v>
      </c>
      <c r="AV39" t="str">
        <f>contactsSQL('Master Table'!AV39)</f>
        <v>INSERT INTO Contact (Name, Email, Phone) SELECT 'Bill McNamara','Bill.McNamara@bentley.com','16104587602' WHERE NOT EXISTS (SELECT Name FROM Contact WHERE Name = 'Bill McNamara');</v>
      </c>
      <c r="AW39" t="str">
        <f>contactsSQL('Master Table'!AW39)</f>
        <v>INSERT INTO Contact (Name, Email, Phone) SELECT 'Bill McNamara','Bill.McNamara@bentley.com','16104587602' WHERE NOT EXISTS (SELECT Name FROM Contact WHERE Name = 'Bill McNamara');</v>
      </c>
      <c r="AX39" t="str">
        <f>contactsSQL('Master Table'!AX39)</f>
        <v>INSERT INTO Contact (Name, Email, Phone) SELECT 'Bill McNamara','Bill.McNamara@bentley.com','16104587602' WHERE NOT EXISTS (SELECT Name FROM Contact WHERE Name = 'Bill McNamara');</v>
      </c>
      <c r="AY39" t="str">
        <f>contactsSQL('Master Table'!AY39)</f>
        <v>INSERT INTO Contact (Name, Email, Phone) SELECT 'Bill McNamara','Bill.McNamara@bentley.com','16104587602' WHERE NOT EXISTS (SELECT Name FROM Contact WHERE Name = 'Bill McNamara');</v>
      </c>
      <c r="AZ39" t="str">
        <f>contactsSQL('Master Table'!AZ39)</f>
        <v>INSERT INTO Contact (Name, Email, Phone) SELECT 'Bill McNamara','Bill.McNamara@bentley.com','16104587602' WHERE NOT EXISTS (SELECT Name FROM Contact WHERE Name = 'Bill McNamara');</v>
      </c>
      <c r="BA39" t="str">
        <f>contactsSQL('Master Table'!BA39)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B39" t="str">
        <f>contactsSQL('Master Table'!BB39)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C39" t="str">
        <f>contactsSQL('Master Table'!BC39)</f>
        <v>INSERT INTO Contact (Name, Email, Phone) SELECT 'Bill McNamara','Bill.McNamara@bentley.com','16104587602' WHERE NOT EXISTS (SELECT Name FROM Contact WHERE Name = 'Bill McNamara');INSERT INTO Contact (Name, Email, Phone) SELECT 'Ranveer Basra','Ranveer.Basra@bentley.com','16104582950' WHERE NOT EXISTS (SELECT Name FROM Contact WHERE Name = 'Ranveer Basra');</v>
      </c>
      <c r="BD39" t="str">
        <f>contactsSQL('Master Table'!BD39)</f>
        <v>INSERT INTO Contact (Name, Email, Phone) SELECT 'Joe Granville','Joe.Granville@bentley.com','16104582951' WHERE NOT EXISTS (SELECT Name FROM Contact WHERE Name = 'Joe Granville');</v>
      </c>
      <c r="BE39" t="str">
        <f>contactsSQL('Master Table'!BE39)</f>
        <v>INSERT INTO Contact (Name, Email, Phone) SELECT 'Beth Buerger','Beth.Buerger@bentley.com','17205283380' WHERE NOT EXISTS (SELECT Name FROM Contact WHERE Name = 'Beth Buerger');</v>
      </c>
      <c r="BF39" t="str">
        <f>contactsSQL('Master Table'!BF39)</f>
        <v>INSERT INTO Contact (Name, Email, Phone) SELECT 'Sam Stuart','Sam.Stuart@bentley.com','' WHERE NOT EXISTS (SELECT Name FROM Contact WHERE Name = 'Sam Stuart');</v>
      </c>
      <c r="BG39" t="str">
        <f>contactsSQL('Master Table'!BG39)</f>
        <v>INSERT INTO Contact (Name, Email, Phone) SELECT 'Rimantas Varanavicius','imantas.Varanavicius@bentley.com','37052398145' WHERE NOT EXISTS (SELECT Name FROM Contact WHERE Name = 'Rimantas Varanavicius');</v>
      </c>
      <c r="BH39" t="str">
        <f>contactsSQL('Master Table'!BH39)</f>
        <v>INSERT INTO Contact (Name, Email, Phone) SELECT 'Jo Wright','Jo.Wright@bentley.com','12569701111' WHERE NOT EXISTS (SELECT Name FROM Contact WHERE Name = 'Jo Wright');</v>
      </c>
      <c r="BI39" t="str">
        <f>contactsSQL('Master Table'!BI39)</f>
        <v>INSERT INTO Contact (Name, Email, Phone) SELECT 'Jo Wright','Jo.Wright@bentley.com','12569701111' WHERE NOT EXISTS (SELECT Name FROM Contact WHERE Name = 'Jo Wright');</v>
      </c>
      <c r="BJ39" t="str">
        <f>contactsSQL('Master Table'!BJ39)</f>
        <v>INSERT INTO Contact (Name, Email, Phone) SELECT 'Jo Wright','Jo.Wright@bentley.com','12569701111' WHERE NOT EXISTS (SELECT Name FROM Contact WHERE Name = 'Jo Wright');</v>
      </c>
      <c r="BK39" t="str">
        <f>contactsSQL('Master Table'!BK39)</f>
        <v>INSERT INTO Contact (Name, Email, Phone) SELECT 'Jo Wright','Jo.Wright@bentley.com','12569701111' WHERE NOT EXISTS (SELECT Name FROM Contact WHERE Name = 'Jo Wright');</v>
      </c>
      <c r="BL39" t="str">
        <f>contactsSQL('Master Table'!BL39)</f>
        <v>INSERT INTO Contact (Name, Email, Phone) SELECT 'Jo Wright','Jo.Wright@bentley.com','12569701111' WHERE NOT EXISTS (SELECT Name FROM Contact WHERE Name = 'Jo Wright');</v>
      </c>
    </row>
    <row r="40" spans="3:64" x14ac:dyDescent="0.25">
      <c r="C40" t="str">
        <f>contactsSQL('Master Table'!C40)</f>
        <v>INSERT INTO Contact (Name, Email, Phone) SELECT 'Badr Ziane','Badreddine.Ziane@bentley.com','33155238407' WHERE NOT EXISTS (SELECT Name FROM Contact WHERE Name = 'Badr Ziane');</v>
      </c>
      <c r="D40" t="str">
        <f>contactsSQL('Master Table'!D40)</f>
        <v>INSERT INTO Contact (Name, Email, Phone) SELECT 'Richard Tully','Richard.Tully@bentley.com','442078617874' WHERE NOT EXISTS (SELECT Name FROM Contact WHERE Name = 'Richard Tully');</v>
      </c>
      <c r="E40" t="str">
        <f>contactsSQL('Master Table'!E40)</f>
        <v/>
      </c>
      <c r="F40" t="str">
        <f>contactsSQL('Master Table'!F40)</f>
        <v>INSERT INTO Contact (Name, Email, Phone) SELECT 'Aby Paul','Aby.Paul@bentley.com','97143826005' WHERE NOT EXISTS (SELECT Name FROM Contact WHERE Name = 'Aby Paul');</v>
      </c>
      <c r="G40" t="str">
        <f>contactsSQL('Master Table'!G40)</f>
        <v>INSERT INTO Contact (Name, Email, Phone) SELECT 'Ian Sevilla','Ian.Sevilla@bentley.com','61894311511' WHERE NOT EXISTS (SELECT Name FROM Contact WHERE Name = 'Ian Sevilla');</v>
      </c>
      <c r="H40" t="str">
        <f>contactsSQL('Master Table'!H40)</f>
        <v>INSERT INTO Contact (Name, Email, Phone) SELECT 'Rupesh Kumar','Rupesh.Kumar@bentley.com','60379403439' WHERE NOT EXISTS (SELECT Name FROM Contact WHERE Name = 'Rupesh Kumar');</v>
      </c>
      <c r="I40" t="str">
        <f>contactsSQL('Master Table'!I40)</f>
        <v>INSERT INTO Contact (Name, Email, Phone) SELECT 'Ignacio Almagro','Ignacio.Almagro@bentley.com','19543439336' WHERE NOT EXISTS (SELECT Name FROM Contact WHERE Name = 'Ignacio Almagro');</v>
      </c>
      <c r="J40" t="str">
        <f>contactsSQL('Master Table'!J40)</f>
        <v>INSERT INTO Contact (Name, Email, Phone) SELECT 'Ignacio Almagro','Ignacio.Almagro@bentley.com','19543439336' WHERE NOT EXISTS (SELECT Name FROM Contact WHERE Name = 'Ignacio Almagro');</v>
      </c>
      <c r="K40" t="str">
        <f>contactsSQL('Master Table'!K40)</f>
        <v>INSERT INTO Contact (Name, Email, Phone) SELECT 'Ignacio Almagro','Ignacio.Almagro@bentley.com','19543439336' WHERE NOT EXISTS (SELECT Name FROM Contact WHERE Name = 'Ignacio Almagro');</v>
      </c>
      <c r="L40" t="str">
        <f>contactsSQL('Master Table'!L40)</f>
        <v>INSERT INTO Contact (Name, Email, Phone) SELECT 'Ignacio Almagro','Ignacio.Almagro@bentley.com','19543439336' WHERE NOT EXISTS (SELECT Name FROM Contact WHERE Name = 'Ignacio Almagro');</v>
      </c>
      <c r="M40" t="str">
        <f>contactsSQL('Master Table'!M40)</f>
        <v>INSERT INTO Contact (Name, Email, Phone) SELECT 'Chris Croucher','Chris.Croucher@bentley.com','16103214606' WHERE NOT EXISTS (SELECT Name FROM Contact WHERE Name = 'Chris Croucher');</v>
      </c>
      <c r="N40" t="str">
        <f>contactsSQL('Master Table'!N40)</f>
        <v>INSERT INTO Contact (Name, Email, Phone) SELECT 'Susanne Trierscheid','Susanne.Trierscheid@bentley.com','498996243238' WHERE NOT EXISTS (SELECT Name FROM Contact WHERE Name = 'Susanne Trierscheid');</v>
      </c>
      <c r="O40" t="str">
        <f>contactsSQL('Master Table'!O40)</f>
        <v>INSERT INTO Contact (Name, Email, Phone) SELECT 'Steve Brown','Steve.Brown@bentley.com','44' WHERE NOT EXISTS (SELECT Name FROM Contact WHERE Name = 'Steve Brown');</v>
      </c>
      <c r="P40" t="str">
        <f>contactsSQL('Master Table'!P40)</f>
        <v>INSERT INTO Contact (Name, Email, Phone) SELECT 'Steve Brown','Steve.Brown@bentley.com','44' WHERE NOT EXISTS (SELECT Name FROM Contact WHERE Name = 'Steve Brown');</v>
      </c>
      <c r="Q40" t="str">
        <f>contactsSQL('Master Table'!Q40)</f>
        <v>INSERT INTO Contact (Name, Email, Phone) SELECT 'Tsholo Nxumalo','Tsholo.Nxumalo@bentley.com','27' WHERE NOT EXISTS (SELECT Name FROM Contact WHERE Name = 'Tsholo Nxumalo');</v>
      </c>
      <c r="R40" t="str">
        <f>contactsSQL('Master Table'!R40)</f>
        <v>INSERT INTO Contact (Name, Email, Phone) SELECT 'Tsholo Nxumalo','Tsholo.Nxumalo@bentley.com','27' WHERE NOT EXISTS (SELECT Name FROM Contact WHERE Name = 'Tsholo Nxumalo');</v>
      </c>
      <c r="S40" t="str">
        <f>contactsSQL('Master Table'!S40)</f>
        <v>INSERT INTO Contact (Name, Email, Phone) SELECT 'Tsholo Nxumalo','Tsholo.Nxumalo@bentley.com','27' WHERE NOT EXISTS (SELECT Name FROM Contact WHERE Name = 'Tsholo Nxumalo');</v>
      </c>
      <c r="T40" t="str">
        <f>contactsSQL('Master Table'!T40)</f>
        <v>INSERT INTO Contact (Name, Email, Phone) SELECT 'Tsholo Nxumalo','Tsholo.Nxumalo@bentley.com','27' WHERE NOT EXISTS (SELECT Name FROM Contact WHERE Name = 'Tsholo Nxumalo');</v>
      </c>
      <c r="U40" t="str">
        <f>contactsSQL('Master Table'!U40)</f>
        <v>INSERT INTO Contact (Name, Email, Phone) SELECT 'Tsholo Nxumalo','Tsholo.Nxumalo@bentley.com','27' WHERE NOT EXISTS (SELECT Name FROM Contact WHERE Name = 'Tsholo Nxumalo');</v>
      </c>
      <c r="V40" t="str">
        <f>contactsSQL('Master Table'!V40)</f>
        <v>INSERT INTO Contact (Name, Email, Phone) SELECT 'Kevin McDonald','Kevin.McDonald@bentley.com','12569701123' WHERE NOT EXISTS (SELECT Name FROM Contact WHERE Name = 'Kevin McDonald');</v>
      </c>
      <c r="W40" t="str">
        <f>contactsSQL('Master Table'!W40)</f>
        <v>INSERT INTO Contact (Name, Email, Phone) SELECT 'Tsholo Nxumalo','Tsholo.Nxumalo@bentley.com','27' WHERE NOT EXISTS (SELECT Name FROM Contact WHERE Name = 'Tsholo Nxumalo');</v>
      </c>
      <c r="X40" t="str">
        <f>contactsSQL('Master Table'!X40)</f>
        <v>INSERT INTO Contact (Name, Email, Phone) SELECT 'Quentin Levey','Quentin.Levey@bentley.com','27824532324' WHERE NOT EXISTS (SELECT Name FROM Contact WHERE Name = 'Quentin Levey');</v>
      </c>
      <c r="Y40" t="str">
        <f>contactsSQL('Master Table'!Y40)</f>
        <v>INSERT INTO Contact (Name, Email, Phone) SELECT 'Tim Lawrence','Tim.Lawrence@bentley.com','15873158588' WHERE NOT EXISTS (SELECT Name FROM Contact WHERE Name = 'Tim Lawrence');</v>
      </c>
      <c r="Z40" t="str">
        <f>contactsSQL('Master Table'!Z40)</f>
        <v>INSERT INTO Contact (Name, Email, Phone) SELECT 'Quentin Levey','Quentin.Levey@bentley.com','27824532324' WHERE NOT EXISTS (SELECT Name FROM Contact WHERE Name = 'Quentin Levey');</v>
      </c>
      <c r="AA40" t="str">
        <f>contactsSQL('Master Table'!AA40)</f>
        <v>INSERT INTO Contact (Name, Email, Phone) SELECT 'Quentin Levey','Quentin.Levey@bentley.com','27824532324' WHERE NOT EXISTS (SELECT Name FROM Contact WHERE Name = 'Quentin Levey');</v>
      </c>
      <c r="AB40" t="str">
        <f>contactsSQL('Master Table'!AB40)</f>
        <v>INSERT INTO Contact (Name, Email, Phone) SELECT 'Alain Beland','Alain.Beland@bentley.com','14188802022' WHERE NOT EXISTS (SELECT Name FROM Contact WHERE Name = 'Alain Beland');</v>
      </c>
      <c r="AC40" t="str">
        <f>contactsSQL('Master Table'!AC40)</f>
        <v>INSERT INTO Contact (Name, Email, Phone) SELECT 'Peter Alspaugh','Peter.Alspaugh@bentley.com','18322172816' WHERE NOT EXISTS (SELECT Name FROM Contact WHERE Name = 'Peter Alspaugh');</v>
      </c>
      <c r="AD40" t="str">
        <f>contactsSQL('Master Table'!AD40)</f>
        <v>INSERT INTO Contact (Name, Email, Phone) SELECT 'Tsholo Nxumalo','Tsholo.Nxumalo@bentley.com','27' WHERE NOT EXISTS (SELECT Name FROM Contact WHERE Name = 'Tsholo Nxumalo');</v>
      </c>
      <c r="AE40" t="str">
        <f>contactsSQL('Master Table'!AE40)</f>
        <v>INSERT INTO Contact (Name, Email, Phone) SELECT 'Tsholo Nxumalo','Tsholo.Nxumalo@bentley.com','27' WHERE NOT EXISTS (SELECT Name FROM Contact WHERE Name = 'Tsholo Nxumalo');</v>
      </c>
      <c r="AF40" t="str">
        <f>contactsSQL('Master Table'!AF40)</f>
        <v>INSERT INTO Contact (Name, Email, Phone) SELECT 'Tsholo Nxumalo','Tsholo.Nxumalo@bentley.com','27' WHERE NOT EXISTS (SELECT Name FROM Contact WHERE Name = 'Tsholo Nxumalo');</v>
      </c>
      <c r="AG40" t="str">
        <f>contactsSQL('Master Table'!AG40)</f>
        <v>INSERT INTO Contact (Name, Email, Phone) SELECT 'Tsholo Nxumalo','Tsholo.Nxumalo@bentley.com','27' WHERE NOT EXISTS (SELECT Name FROM Contact WHERE Name = 'Tsholo Nxumalo');</v>
      </c>
      <c r="AH40" t="str">
        <f>contactsSQL('Master Table'!AH40)</f>
        <v>INSERT INTO Contact (Name, Email, Phone) SELECT 'Adam Smith','Adam.Smith@bentley.com','' WHERE NOT EXISTS (SELECT Name FROM Contact WHERE Name = 'Adam Smith');</v>
      </c>
      <c r="AI40" t="str">
        <f>contactsSQL('Master Table'!AI40)</f>
        <v>INSERT INTO Contact (Name, Email, Phone) SELECT 'Lawrence Yong','Lawrence.Yong@bentley.com','61288778803' WHERE NOT EXISTS (SELECT Name FROM Contact WHERE Name = 'Lawrence Yong');</v>
      </c>
      <c r="AJ40" t="str">
        <f>contactsSQL('Master Table'!AJ40)</f>
        <v>INSERT INTO Contact (Name, Email, Phone) SELECT 'Natasha Pieterse','Natasha.Pieterse@bentley.com','' WHERE NOT EXISTS (SELECT Name FROM Contact WHERE Name = 'Natasha Pieterse');</v>
      </c>
      <c r="AK40" t="str">
        <f>contactsSQL('Master Table'!AK40)</f>
        <v>INSERT INTO Contact (Name, Email, Phone) SELECT 'Harrie van Mullekom','Harrie.vanMullekom@bentley.com','31235560635' WHERE NOT EXISTS (SELECT Name FROM Contact WHERE Name = 'Harrie van Mullekom');</v>
      </c>
      <c r="AL40" t="str">
        <f>contactsSQL('Master Table'!AL40)</f>
        <v>INSERT INTO Contact (Name, Email, Phone) SELECT 'Linda Oliveira','Linda.Oliveira@bentley.com','16104586084' WHERE NOT EXISTS (SELECT Name FROM Contact WHERE Name = 'Linda Oliveira');</v>
      </c>
      <c r="AM40" t="str">
        <f>contactsSQL('Master Table'!AM40)</f>
        <v>INSERT INTO Contact (Name, Email, Phone) SELECT 'Jukka Kivela','Jukka.Kivela@bentley.com','358108301229' WHERE NOT EXISTS (SELECT Name FROM Contact WHERE Name = 'Jukka Kivela');</v>
      </c>
      <c r="AN40" t="str">
        <f>contactsSQL('Master Table'!AN40)</f>
        <v>INSERT INTO Contact (Name, Email, Phone) SELECT 'Lon Opp','Lon.Opp@bentley.com','12569701127' WHERE NOT EXISTS (SELECT Name FROM Contact WHERE Name = 'Lon Opp');</v>
      </c>
      <c r="AO40" t="str">
        <f>contactsSQL('Master Table'!AO40)</f>
        <v>INSERT INTO Contact (Name, Email, Phone) SELECT 'Clive Hackforth','Clive.Hackforth@bentley.com','442078610933' WHERE NOT EXISTS (SELECT Name FROM Contact WHERE Name = 'Clive Hackforth');</v>
      </c>
      <c r="AP40" t="str">
        <f>contactsSQL('Master Table'!AP40)</f>
        <v>INSERT INTO Contact (Name, Email, Phone) SELECT 'Kristen Dietrich','Kristen.Dietrich@bentley.com','12038050414' WHERE NOT EXISTS (SELECT Name FROM Contact WHERE Name = 'Kristen Dietrich');</v>
      </c>
      <c r="AQ40" t="str">
        <f>contactsSQL('Master Table'!AQ40)</f>
        <v>INSERT INTO Contact (Name, Email, Phone) SELECT 'Joanna Slowinska','Joanna.Slowinska@bentley.com','442078610317' WHERE NOT EXISTS (SELECT Name FROM Contact WHERE Name = 'Joanna Slowinska');</v>
      </c>
      <c r="AR40" t="str">
        <f>contactsSQL('Master Table'!AR40)</f>
        <v>INSERT INTO Contact (Name, Email, Phone) SELECT 'Richard Ellis','Richard.Ellis@bentley.com','6421611832' WHERE NOT EXISTS (SELECT Name FROM Contact WHERE Name = 'Richard Ellis');</v>
      </c>
      <c r="AS40" t="str">
        <f>contactsSQL('Master Table'!AS40)</f>
        <v>INSERT INTO Contact (Name, Email, Phone) SELECT 'Neil Pickin','Neil.Pickin@bentley.com','441619731462' WHERE NOT EXISTS (SELECT Name FROM Contact WHERE Name = 'Neil Pickin');</v>
      </c>
      <c r="AT40" t="str">
        <f>contactsSQL('Master Table'!AT40)</f>
        <v>INSERT INTO Contact (Name, Email, Phone) SELECT 'Mark Mazzeo','Mark.Mazzeo@bentley.com','14122303034' WHERE NOT EXISTS (SELECT Name FROM Contact WHERE Name = 'Mark Mazzeo');</v>
      </c>
      <c r="AU40" t="str">
        <f>contactsSQL('Master Table'!AU40)</f>
        <v>INSERT INTO Contact (Name, Email, Phone) SELECT 'Paul Johnson','Paul.Johnson@bentley.com','16104583191' WHERE NOT EXISTS (SELECT Name FROM Contact WHERE Name = 'Paul Johnson');</v>
      </c>
      <c r="AV40" t="str">
        <f>contactsSQL('Master Table'!AV40)</f>
        <v>INSERT INTO Contact (Name, Email, Phone) SELECT 'Amol Sonawane','Amol.Sonawane@bentley.com','912066021201' WHERE NOT EXISTS (SELECT Name FROM Contact WHERE Name = 'Amol Sonawane');</v>
      </c>
      <c r="AW40" t="str">
        <f>contactsSQL('Master Table'!AW40)</f>
        <v>INSERT INTO Contact (Name, Email, Phone) SELECT 'Justinas Verbickas','Justinas.Verbickas@bentley.com','37052503337' WHERE NOT EXISTS (SELECT Name FROM Contact WHERE Name = 'Justinas Verbickas');</v>
      </c>
      <c r="AX40" t="str">
        <f>contactsSQL('Master Table'!AX40)</f>
        <v>INSERT INTO Contact (Name, Email, Phone) SELECT 'Arturas Zidonis','Arturas.Zidonis@bentley.com','37052507277' WHERE NOT EXISTS (SELECT Name FROM Contact WHERE Name = 'Arturas Zidonis');</v>
      </c>
      <c r="AY40" t="str">
        <f>contactsSQL('Master Table'!AY40)</f>
        <v>INSERT INTO Contact (Name, Email, Phone) SELECT 'Arturas Zidonis','Arturas.Zidonis@bentley.com','37052507277' WHERE NOT EXISTS (SELECT Name FROM Contact WHERE Name = 'Arturas Zidonis');</v>
      </c>
      <c r="AZ40" t="str">
        <f>contactsSQL('Master Table'!AZ40)</f>
        <v>INSERT INTO Contact (Name, Email, Phone) SELECT 'Arturas Zidonis','Arturas.Zidonis@bentley.com','37052507277' WHERE NOT EXISTS (SELECT Name FROM Contact WHERE Name = 'Arturas Zidonis');</v>
      </c>
      <c r="BA40" t="str">
        <f>contactsSQL('Master Table'!BA40)</f>
        <v>INSERT INTO Contact (Name, Email, Phone) SELECT 'Justinas Verbickas','Justinas.Verbickas@bentley.com','37052503337' WHERE NOT EXISTS (SELECT Name FROM Contact WHERE Name = 'Justinas Verbickas');</v>
      </c>
      <c r="BB40" t="str">
        <f>contactsSQL('Master Table'!BB40)</f>
        <v>INSERT INTO Contact (Name, Email, Phone) SELECT 'Justinas Verbickas','Justinas.Verbickas@bentley.com','37052503337' WHERE NOT EXISTS (SELECT Name FROM Contact WHERE Name = 'Justinas Verbickas');</v>
      </c>
      <c r="BC40" t="str">
        <f>contactsSQL('Master Table'!BC40)</f>
        <v>INSERT INTO Contact (Name, Email, Phone) SELECT 'Justinas Verbickas','Justinas.Verbickas@bentley.com','37052503337' WHERE NOT EXISTS (SELECT Name FROM Contact WHERE Name = 'Justinas Verbickas');</v>
      </c>
      <c r="BD40" t="str">
        <f>contactsSQL('Master Table'!BD40)</f>
        <v>INSERT INTO Contact (Name, Email, Phone) SELECT 'Paul Johnson','Paul.Johnson@bentley.com','16104583191' WHERE NOT EXISTS (SELECT Name FROM Contact WHERE Name = 'Paul Johnson');</v>
      </c>
      <c r="BE40" t="str">
        <f>contactsSQL('Master Table'!BE40)</f>
        <v>INSERT INTO Contact (Name, Email, Phone) SELECT 'Paul Johnson','Paul.Johnson@bentley.com','16104583191' WHERE NOT EXISTS (SELECT Name FROM Contact WHERE Name = 'Paul Johnson');</v>
      </c>
      <c r="BF40" t="str">
        <f>contactsSQL('Master Table'!BF40)</f>
        <v>INSERT INTO Contact (Name, Email, Phone) SELECT 'Matt Starke','Matt.Starke@bentley.com','15102502118' WHERE NOT EXISTS (SELECT Name FROM Contact WHERE Name = 'Matt Starke');</v>
      </c>
      <c r="BG40" t="str">
        <f>contactsSQL('Master Table'!BG40)</f>
        <v>INSERT INTO Contact (Name, Email, Phone) SELECT 'Arturas Baranauskas','Arturas.Baranauskas@bentley.com','37052507280' WHERE NOT EXISTS (SELECT Name FROM Contact WHERE Name = 'Arturas Baranauskas');</v>
      </c>
      <c r="BH40" t="str">
        <f>contactsSQL('Master Table'!BH40)</f>
        <v>INSERT INTO Contact (Name, Email, Phone) SELECT 'Amol Sonawane','Amol.Sonawane@bentley.com','912066021201' WHERE NOT EXISTS (SELECT Name FROM Contact WHERE Name = 'Amol Sonawane');</v>
      </c>
      <c r="BI40" t="str">
        <f>contactsSQL('Master Table'!BI40)</f>
        <v>INSERT INTO Contact (Name, Email, Phone) SELECT 'Justinas Verbickas','Justinas.Verbickas@bentley.com','37052503337' WHERE NOT EXISTS (SELECT Name FROM Contact WHERE Name = 'Justinas Verbickas');</v>
      </c>
      <c r="BJ40" t="str">
        <f>contactsSQL('Master Table'!BJ40)</f>
        <v>INSERT INTO Contact (Name, Email, Phone) SELECT 'Amol Sonawane','Amol.Sonawane@bentley.com','912066021201' WHERE NOT EXISTS (SELECT Name FROM Contact WHERE Name = 'Amol Sonawane');</v>
      </c>
      <c r="BK40" t="str">
        <f>contactsSQL('Master Table'!BK40)</f>
        <v>INSERT INTO Contact (Name, Email, Phone) SELECT 'Evert de Jong','Evert.deJong@bentley.com','31235560545' WHERE NOT EXISTS (SELECT Name FROM Contact WHERE Name = 'Evert de Jong');</v>
      </c>
      <c r="BL40" t="str">
        <f>contactsSQL('Master Table'!BL40)</f>
        <v>INSERT INTO Contact (Name, Email, Phone) SELECT 'Evert de Jong','Evert.deJong@bentley.com','31235560545' WHERE NOT EXISTS (SELECT Name FROM Contact WHERE Name = 'Evert de Jong');</v>
      </c>
    </row>
    <row r="41" spans="3:64" x14ac:dyDescent="0.25">
      <c r="C41" t="str">
        <f>contactsSQL('Master Table'!C41)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2:BL40"/>
  <sheetViews>
    <sheetView tabSelected="1" topLeftCell="AD9" workbookViewId="0">
      <selection activeCell="BI9" sqref="BI9:BL40"/>
    </sheetView>
  </sheetViews>
  <sheetFormatPr defaultRowHeight="15" x14ac:dyDescent="0.25"/>
  <sheetData>
    <row r="2" spans="3:64" x14ac:dyDescent="0.25">
      <c r="C2" t="str">
        <f>assignmentSQL('Master Table'!C2,'Master Table'!C$1,'Master Table'!$A2,'Master Table'!$B2)</f>
        <v>INSERT INTO Contact_ProductLine_Map (ContactId, ProductLineId, RegionId, IsSales, IsPM, IsUserAdvocate) VALUES ((SELECT ContactId FROM Contact WHERE Name = 'Jenn Metzler'), (SELECT ProductLineId FROM ProductLine WHERE Name = 'STAAD'), (SELECT RegionID FROM Region WHERE Name = 'NA'),1,0,0);</v>
      </c>
      <c r="D2" t="str">
        <f>assignmentSQL('Master Table'!D2,'Master Table'!D$1,'Master Table'!$A2,'Master Table'!$B2)</f>
        <v>INSERT INTO Contact_ProductLine_Map (ContactId, ProductLineId, RegionId, IsSales, IsPM, IsUserAdvocate) VALUES ((SELECT ContactId FROM Contact WHERE Name = 'Jenn Metzler'), (SELECT ProductLineId FROM ProductLine WHERE Name = 'RAM'), (SELECT RegionID FROM Region WHERE Name = 'NA'),1,0,0);</v>
      </c>
      <c r="E2" t="str">
        <f>assignmentSQL('Master Table'!E2,'Master Table'!E$1,'Master Table'!$A2,'Master Table'!$B2)</f>
        <v>INSERT INTO Contact_ProductLine_Map (ContactId, ProductLineId, RegionId, IsSales, IsPM, IsUserAdvocate) VALUES ((SELECT ContactId FROM Contact WHERE Name = 'Jenn Metzler'), (SELECT ProductLineId FROM ProductLine WHERE Name = 'AUTOPIPE'), (SELECT RegionID FROM Region WHERE Name = 'NA'),1,0,0);</v>
      </c>
      <c r="F2" t="str">
        <f>assignmentSQL('Master Table'!F2,'Master Table'!F$1,'Master Table'!$A2,'Master Table'!$B2)</f>
        <v>INSERT INTO Contact_ProductLine_Map (ContactId, ProductLineId, RegionId, IsSales, IsPM, IsUserAdvocate) VALUES ((SELECT ContactId FROM Contact WHERE Name = 'Jenn Metzler'), (SELECT ProductLineId FROM ProductLine WHERE Name = 'SACS'), (SELECT RegionID FROM Region WHERE Name = 'NA'),1,0,0);</v>
      </c>
      <c r="G2" t="str">
        <f>assignmentSQL('Master Table'!G2,'Master Table'!G$1,'Master Table'!$A2,'Master Table'!$B2)</f>
        <v>INSERT INTO Contact_ProductLine_Map (ContactId, ProductLineId, RegionId, IsSales, IsPM, IsUserAdvocate) VALUES ((SELECT ContactId FROM Contact WHERE Name = 'Jenn Metzler'), (SELECT ProductLineId FROM ProductLine WHERE Name = 'MAXSURF'), (SELECT RegionID FROM Region WHERE Name = 'NA'),1,0,0);</v>
      </c>
      <c r="H2" t="str">
        <f>assignmentSQL('Master Table'!H2,'Master Table'!H$1,'Master Table'!$A2,'Master Table'!$B2)</f>
        <v>INSERT INTO Contact_ProductLine_Map (ContactId, ProductLineId, RegionId, IsSales, IsPM, IsUserAdvocate) VALUES ((SELECT ContactId FROM Contact WHERE Name = 'Jenn Metzler'), (SELECT ProductLineId FROM ProductLine WHERE Name = 'MOSES'), (SELECT RegionID FROM Region WHERE Name = 'NA'),1,0,0);</v>
      </c>
      <c r="I2" t="str">
        <f>assignmentSQL('Master Table'!I2,'Master Table'!I$1,'Master Table'!$A2,'Master Table'!$B2)</f>
        <v>INSERT INTO Contact_ProductLine_Map (ContactId, ProductLineId, RegionId, IsSales, IsPM, IsUserAdvocate) VALUES ((SELECT ContactId FROM Contact WHERE Name = 'Barbara Day'), (SELECT ProductLineId FROM ProductLine WHERE Name = 'RM'), (SELECT RegionID FROM Region WHERE Name = 'NA'),1,0,0);</v>
      </c>
      <c r="J2" t="str">
        <f>assignmentSQL('Master Table'!J2,'Master Table'!J$1,'Master Table'!$A2,'Master Table'!$B2)</f>
        <v>INSERT INTO Contact_ProductLine_Map (ContactId, ProductLineId, RegionId, IsSales, IsPM, IsUserAdvocate) VALUES ((SELECT ContactId FROM Contact WHERE Name = 'Barbara Day'), (SELECT ProductLineId FROM ProductLine WHERE Name = 'LEAP'), (SELECT RegionID FROM Region WHERE Name = 'NA'),1,0,0);</v>
      </c>
      <c r="K2" t="str">
        <f>assignmentSQL('Master Table'!K2,'Master Table'!K$1,'Master Table'!$A2,'Master Table'!$B2)</f>
        <v>INSERT INTO Contact_ProductLine_Map (ContactId, ProductLineId, RegionId, IsSales, IsPM, IsUserAdvocate) VALUES ((SELECT ContactId FROM Contact WHERE Name = 'Barbara Day'), (SELECT ProductLineId FROM ProductLine WHERE Name = 'OBM'), (SELECT RegionID FROM Region WHERE Name = 'NA'),1,0,0);</v>
      </c>
      <c r="L2" t="str">
        <f>assignmentSQL('Master Table'!L2,'Master Table'!L$1,'Master Table'!$A2,'Master Table'!$B2)</f>
        <v>INSERT INTO Contact_ProductLine_Map (ContactId, ProductLineId, RegionId, IsSales, IsPM, IsUserAdvocate) VALUES ((SELECT ContactId FROM Contact WHERE Name = 'Barbara Day'), (SELECT ProductLineId FROM ProductLine WHERE Name = 'LARS'), (SELECT RegionID FROM Region WHERE Name = 'NA'),1,0,0);</v>
      </c>
      <c r="M2" t="str">
        <f>assignmentSQL('Master Table'!M2,'Master Table'!M$1,'Master Table'!$A2,'Master Table'!$B2)</f>
        <v>INSERT INTO Contact_ProductLine_Map (ContactId, ProductLineId, RegionId, IsSales, IsPM, IsUserAdvocate) VALUES ((SELECT ContactId FROM Contact WHERE Name = 'Barbara Day'), (SELECT ProductLineId FROM ProductLine WHERE Name = 'SITEOPS'), (SELECT RegionID FROM Region WHERE Name = 'NA'),1,0,0);</v>
      </c>
      <c r="N2" t="str">
        <f>assignmentSQL('Master Table'!N2,'Master Table'!N$1,'Master Table'!$A2,'Master Table'!$B2)</f>
        <v>INSERT INTO Contact_ProductLine_Map (ContactId, ProductLineId, RegionId, IsSales, IsPM, IsUserAdvocate) VALUES ((SELECT ContactId FROM Contact WHERE Name = 'Henry Adams'), (SELECT ProductLineId FROM ProductLine WHERE Name = 'AECOsim Building Designer'), (SELECT RegionID FROM Region WHERE Name = 'NA'),1,0,0);</v>
      </c>
      <c r="O2" t="str">
        <f>assignmentSQL('Master Table'!O2,'Master Table'!O$1,'Master Table'!$A2,'Master Table'!$B2)</f>
        <v>INSERT INTO Contact_ProductLine_Map (ContactId, ProductLineId, RegionId, IsSales, IsPM, IsUserAdvocate) VALUES ((SELECT ContactId FROM Contact WHERE Name = 'Henry Adams'), (SELECT ProductLineId FROM ProductLine WHERE Name = 'speedikon'), (SELECT RegionID FROM Region WHERE Name = 'NA'),1,0,0);</v>
      </c>
      <c r="P2" t="str">
        <f>assignmentSQL('Master Table'!P2,'Master Table'!P$1,'Master Table'!$A2,'Master Table'!$B2)</f>
        <v>INSERT INTO Contact_ProductLine_Map (ContactId, ProductLineId, RegionId, IsSales, IsPM, IsUserAdvocate) VALUES ((SELECT ContactId FROM Contact WHERE Name = 'Henry Adams'), (SELECT ProductLineId FROM ProductLine WHERE Name = 'Hevacomp'), (SELECT RegionID FROM Region WHERE Name = 'NA'),1,0,0);</v>
      </c>
      <c r="Q2" t="str">
        <f>assignmentSQL('Master Table'!Q2,'Master Table'!Q$1,'Master Table'!$A2,'Master Table'!$B2)</f>
        <v>INSERT INTO Contact_ProductLine_Map (ContactId, ProductLineId, RegionId, IsSales, IsPM, IsUserAdvocate) VALUES ((SELECT ContactId FROM Contact WHERE Name = 'Laura Selleck'), (SELECT ProductLineId FROM ProductLine WHERE Name = 'GEOPAK'), (SELECT RegionID FROM Region WHERE Name = 'NA'),1,0,0);INSERT INTO Contact_ProductLine_Map (ContactId, ProductLineId, RegionId, IsSales, IsPM, IsUserAdvocate) VALUES ((SELECT ContactId FROM Contact WHERE Name = 'Rick Lund'), (SELECT ProductLineId FROM ProductLine WHERE Name = 'GEOPAK'), (SELECT RegionID FROM Region WHERE Name = 'NA'),1,0,0);</v>
      </c>
      <c r="R2" t="str">
        <f>assignmentSQL('Master Table'!R2,'Master Table'!R$1,'Master Table'!$A2,'Master Table'!$B2)</f>
        <v>INSERT INTO Contact_ProductLine_Map (ContactId, ProductLineId, RegionId, IsSales, IsPM, IsUserAdvocate) VALUES ((SELECT ContactId FROM Contact WHERE Name = 'Bernie Morgan'), (SELECT ProductLineId FROM ProductLine WHERE Name = 'InRoads'), (SELECT RegionID FROM Region WHERE Name = 'NA'),1,0,0);</v>
      </c>
      <c r="S2" t="str">
        <f>assignmentSQL('Master Table'!S2,'Master Table'!S$1,'Master Table'!$A2,'Master Table'!$B2)</f>
        <v>INSERT INTO Contact_ProductLine_Map (ContactId, ProductLineId, RegionId, IsSales, IsPM, IsUserAdvocate) VALUES ((SELECT ContactId FROM Contact WHERE Name = 'Bernie Morgan'), (SELECT ProductLineId FROM ProductLine WHERE Name = 'MX'), (SELECT RegionID FROM Region WHERE Name = 'NA'),1,0,0);</v>
      </c>
      <c r="T2" t="str">
        <f>assignmentSQL('Master Table'!T2,'Master Table'!T$1,'Master Table'!$A2,'Master Table'!$B2)</f>
        <v>INSERT INTO Contact_ProductLine_Map (ContactId, ProductLineId, RegionId, IsSales, IsPM, IsUserAdvocate) VALUES ((SELECT ContactId FROM Contact WHERE Name = 'Bernie Morgan'), (SELECT ProductLineId FROM ProductLine WHERE Name = 'OpenRail'), (SELECT RegionID FROM Region WHERE Name = 'NA'),1,0,0);</v>
      </c>
      <c r="U2" t="str">
        <f>assignmentSQL('Master Table'!U2,'Master Table'!U$1,'Master Table'!$A2,'Master Table'!$B2)</f>
        <v>INSERT INTO Contact_ProductLine_Map (ContactId, ProductLineId, RegionId, IsSales, IsPM, IsUserAdvocate) VALUES ((SELECT ContactId FROM Contact WHERE Name = 'Bernie Morgan'), (SELECT ProductLineId FROM ProductLine WHERE Name = 'OpenRoads'), (SELECT RegionID FROM Region WHERE Name = 'NA'),1,0,0);</v>
      </c>
      <c r="V2" t="str">
        <f>assignmentSQL('Master Table'!V2,'Master Table'!V$1,'Master Table'!$A2,'Master Table'!$B2)</f>
        <v>INSERT INTO Contact_ProductLine_Map (ContactId, ProductLineId, RegionId, IsSales, IsPM, IsUserAdvocate) VALUES ((SELECT ContactId FROM Contact WHERE Name = 'Bernie Morgan'), (SELECT ProductLineId FROM ProductLine WHERE Name = 'ConceptStation'), (SELECT RegionID FROM Region WHERE Name = 'NA'),1,0,0);</v>
      </c>
      <c r="W2" t="str">
        <f>assignmentSQL('Master Table'!W2,'Master Table'!W$1,'Master Table'!$A2,'Master Table'!$B2)</f>
        <v>INSERT INTO Contact_ProductLine_Map (ContactId, ProductLineId, RegionId, IsSales, IsPM, IsUserAdvocate) VALUES ((SELECT ContactId FROM Contact WHERE Name = 'Bernie Morgan'), (SELECT ProductLineId FROM ProductLine WHERE Name = 'gINT'), (SELECT RegionID FROM Region WHERE Name = 'NA'),1,0,0);</v>
      </c>
      <c r="X2" t="str">
        <f>assignmentSQL('Master Table'!X2,'Master Table'!X$1,'Master Table'!$A2,'Master Table'!$B2)</f>
        <v>INSERT INTO Contact_ProductLine_Map (ContactId, ProductLineId, RegionId, IsSales, IsPM, IsUserAdvocate) VALUES ((SELECT ContactId FROM Contact WHERE Name = 'Brian Preston'), (SELECT ProductLineId FROM ProductLine WHERE Name = 'AutoPLANT'), (SELECT RegionID FROM Region WHERE Name = 'NA'),1,0,0);</v>
      </c>
      <c r="Y2" t="str">
        <f>assignmentSQL('Master Table'!Y2,'Master Table'!Y$1,'Master Table'!$A2,'Master Table'!$B2)</f>
        <v>INSERT INTO Contact_ProductLine_Map (ContactId, ProductLineId, RegionId, IsSales, IsPM, IsUserAdvocate) VALUES ((SELECT ContactId FROM Contact WHERE Name = 'Brian Preston'), (SELECT ProductLineId FROM ProductLine WHERE Name = 'AXSYS'), (SELECT RegionID FROM Region WHERE Name = 'NA'),1,0,0);</v>
      </c>
      <c r="Z2" t="str">
        <f>assignmentSQL('Master Table'!Z2,'Master Table'!Z$1,'Master Table'!$A2,'Master Table'!$B2)</f>
        <v>INSERT INTO Contact_ProductLine_Map (ContactId, ProductLineId, RegionId, IsSales, IsPM, IsUserAdvocate) VALUES ((SELECT ContactId FROM Contact WHERE Name = 'Brian Preston'), (SELECT ProductLineId FROM ProductLine WHERE Name = 'OpenPlant'), (SELECT RegionID FROM Region WHERE Name = 'NA'),1,0,0);</v>
      </c>
      <c r="AA2" t="str">
        <f>assignmentSQL('Master Table'!AA2,'Master Table'!AA$1,'Master Table'!$A2,'Master Table'!$B2)</f>
        <v>INSERT INTO Contact_ProductLine_Map (ContactId, ProductLineId, RegionId, IsSales, IsPM, IsUserAdvocate) VALUES ((SELECT ContactId FROM Contact WHERE Name = 'Brian Preston'), (SELECT ProductLineId FROM ProductLine WHERE Name = 'PlantSpace'), (SELECT RegionID FROM Region WHERE Name = 'NA'),1,0,0);</v>
      </c>
      <c r="AB2" t="str">
        <f>assignmentSQL('Master Table'!AB2,'Master Table'!AB$1,'Master Table'!$A2,'Master Table'!$B2)</f>
        <v>INSERT INTO Contact_ProductLine_Map (ContactId, ProductLineId, RegionId, IsSales, IsPM, IsUserAdvocate) VALUES ((SELECT ContactId FROM Contact WHERE Name = 'Brian Preston'), (SELECT ProductLineId FROM ProductLine WHERE Name = 'MineCycle'), (SELECT RegionID FROM Region WHERE Name = 'NA'),1,0,0);</v>
      </c>
      <c r="AC2" t="str">
        <f>assignmentSQL('Master Table'!AC2,'Master Table'!AC$1,'Master Table'!$A2,'Master Table'!$B2)</f>
        <v>INSERT INTO Contact_ProductLine_Map (ContactId, ProductLineId, RegionId, IsSales, IsPM, IsUserAdvocate) VALUES ((SELECT ContactId FROM Contact WHERE Name = 'Brian Preston'), (SELECT ProductLineId FROM ProductLine WHERE Name = 'Plantwise'), (SELECT RegionID FROM Region WHERE Name = 'NA'),1,0,0);</v>
      </c>
      <c r="AD2" t="str">
        <f>assignmentSQL('Master Table'!AD2,'Master Table'!AD$1,'Master Table'!$A2,'Master Table'!$B2)</f>
        <v>INSERT INTO Contact_ProductLine_Map (ContactId, ProductLineId, RegionId, IsSales, IsPM, IsUserAdvocate) VALUES ((SELECT ContactId FROM Contact WHERE Name = 'Greg Zeller'), (SELECT ProductLineId FROM ProductLine WHERE Name = 'Pointools'), (SELECT RegionID FROM Region WHERE Name = 'NA'),1,0,0);</v>
      </c>
      <c r="AE2" t="str">
        <f>assignmentSQL('Master Table'!AE2,'Master Table'!AE$1,'Master Table'!$A2,'Master Table'!$B2)</f>
        <v>INSERT INTO Contact_ProductLine_Map (ContactId, ProductLineId, RegionId, IsSales, IsPM, IsUserAdvocate) VALUES ((SELECT ContactId FROM Contact WHERE Name = 'Greg Zeller'), (SELECT ProductLineId FROM ProductLine WHERE Name = 'LumenRT'), (SELECT RegionID FROM Region WHERE Name = 'NA'),1,0,0);</v>
      </c>
      <c r="AF2" t="str">
        <f>assignmentSQL('Master Table'!AF2,'Master Table'!AF$1,'Master Table'!$A2,'Master Table'!$B2)</f>
        <v>INSERT INTO Contact_ProductLine_Map (ContactId, ProductLineId, RegionId, IsSales, IsPM, IsUserAdvocate) VALUES ((SELECT ContactId FROM Contact WHERE Name = 'Greg Zeller'), (SELECT ProductLineId FROM ProductLine WHERE Name = 'ContextCapture'), (SELECT RegionID FROM Region WHERE Name = 'NA'),1,0,0);</v>
      </c>
      <c r="AG2" t="str">
        <f>assignmentSQL('Master Table'!AG2,'Master Table'!AG$1,'Master Table'!$A2,'Master Table'!$B2)</f>
        <v>INSERT INTO Contact_ProductLine_Map (ContactId, ProductLineId, RegionId, IsSales, IsPM, IsUserAdvocate) VALUES ((SELECT ContactId FROM Contact WHERE Name = 'Greg Zeller'), (SELECT ProductLineId FROM ProductLine WHERE Name = 'Descartes'), (SELECT RegionID FROM Region WHERE Name = 'NA'),1,0,0);</v>
      </c>
      <c r="AH2" t="str">
        <f>assignmentSQL('Master Table'!AH2,'Master Table'!AH$1,'Master Table'!$A2,'Master Table'!$B2)</f>
        <v>INSERT INTO Contact_ProductLine_Map (ContactId, ProductLineId, RegionId, IsSales, IsPM, IsUserAdvocate) VALUES ((SELECT ContactId FROM Contact WHERE Name = 'Henry Adams'), (SELECT ProductLineId FROM ProductLine WHERE Name = 'ProStructures'), (SELECT RegionID FROM Region WHERE Name = 'NA'),1,0,0);</v>
      </c>
      <c r="AI2" t="str">
        <f>assignmentSQL('Master Table'!AI2,'Master Table'!AI$1,'Master Table'!$A2,'Master Table'!$B2)</f>
        <v>INSERT INTO Contact_ProductLine_Map (ContactId, ProductLineId, RegionId, IsSales, IsPM, IsUserAdvocate) VALUES ((SELECT ContactId FROM Contact WHERE Name = 'Laura Selleck'), (SELECT ProductLineId FROM ProductLine WHERE Name = 'promis*e'), (SELECT RegionID FROM Region WHERE Name = 'NA'),1,0,0);INSERT INTO Contact_ProductLine_Map (ContactId, ProductLineId, RegionId, IsSales, IsPM, IsUserAdvocate) VALUES ((SELECT ContactId FROM Contact WHERE Name = 'Rick Lund'), (SELECT ProductLineId FROM ProductLine WHERE Name = 'promis*e'), (SELECT RegionID FROM Region WHERE Name = 'NA'),1,0,0);</v>
      </c>
      <c r="AJ2" t="str">
        <f>assignmentSQL('Master Table'!AJ2,'Master Table'!AJ$1,'Master Table'!$A2,'Master Table'!$B2)</f>
        <v>INSERT INTO Contact_ProductLine_Map (ContactId, ProductLineId, RegionId, IsSales, IsPM, IsUserAdvocate) VALUES ((SELECT ContactId FROM Contact WHERE Name = 'George Castle'), (SELECT ProductLineId FROM ProductLine WHERE Name = 'AssetWise'), (SELECT RegionID FROM Region WHERE Name = 'NA'),1,0,0);</v>
      </c>
      <c r="AK2" t="str">
        <f>assignmentSQL('Master Table'!AK2,'Master Table'!AK$1,'Master Table'!$A2,'Master Table'!$B2)</f>
        <v>INSERT INTO Contact_ProductLine_Map (ContactId, ProductLineId, RegionId, IsSales, IsPM, IsUserAdvocate) VALUES ((SELECT ContactId FROM Contact WHERE Name = 'George Castle'), (SELECT ProductLineId FROM ProductLine WHERE Name = 'AssetWise APM'), (SELECT RegionID FROM Region WHERE Name = 'NA'),1,0,0);</v>
      </c>
      <c r="AL2" t="str">
        <f>assignmentSQL('Master Table'!AL2,'Master Table'!AL$1,'Master Table'!$A2,'Master Table'!$B2)</f>
        <v>INSERT INTO Contact_ProductLine_Map (ContactId, ProductLineId, RegionId, IsSales, IsPM, IsUserAdvocate) VALUES ((SELECT ContactId FROM Contact WHERE Name = 'Jim Lucas'), (SELECT ProductLineId FROM ProductLine WHERE Name = 'OpenUtilities'), (SELECT RegionID FROM Region WHERE Name = 'NA'),1,0,0);INSERT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'NA'),1,0,0);</v>
      </c>
      <c r="AM2" t="str">
        <f>assignmentSQL('Master Table'!AM2,'Master Table'!AM$1,'Master Table'!$A2,'Master Table'!$B2)</f>
        <v/>
      </c>
      <c r="AN2" t="str">
        <f>assignmentSQL('Master Table'!AN2,'Master Table'!AN$1,'Master Table'!$A2,'Master Table'!$B2)</f>
        <v>INSERT INTO Contact_ProductLine_Map (ContactId, ProductLineId, RegionId, IsSales, IsPM, IsUserAdvocate) VALUES ((SELECT ContactId FROM Contact WHERE Name = 'Jim Lucas'), (SELECT ProductLineId FROM ProductLine WHERE Name = 'OpenComms'), (SELECT RegionID FROM Region WHERE Name = 'NA'),1,0,0);INSERT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'NA'),1,0,0);</v>
      </c>
      <c r="AO2" t="str">
        <f>assignmentSQL('Master Table'!AO2,'Master Table'!AO$1,'Master Table'!$A2,'Master Table'!$B2)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'NA'),1,0,0);INSERT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'NA'),1,0,0);</v>
      </c>
      <c r="AP2" t="str">
        <f>assignmentSQL('Master Table'!AP2,'Master Table'!AP$1,'Master Table'!$A2,'Master Table'!$B2)</f>
        <v>INSERT INTO Contact_ProductLine_Map (ContactId, ProductLineId, RegionId, IsSales, IsPM, IsUserAdvocate) VALUES ((SELECT ContactId FROM Contact WHERE Name = 'Joel Johnson'), (SELECT ProductLineId FROM ProductLine WHERE Name = 'Haestad'), (SELECT RegionID FROM Region WHERE Name = 'NA'),1,0,0);INSERT INTO Contact_ProductLine_Map (ContactId, ProductLineId, RegionId, IsSales, IsPM, IsUserAdvocate) VALUES ((SELECT ContactId FROM Contact WHERE Name = 'Mike Rosh'), (SELECT ProductLineId FROM ProductLine WHERE Name = 'Haestad'), (SELECT RegionID FROM Region WHERE Name = 'NA'),1,0,0);</v>
      </c>
      <c r="AQ2" t="str">
        <f>assignmentSQL('Master Table'!AQ2,'Master Table'!AQ$1,'Master Table'!$A2,'Master Table'!$B2)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'NA'),1,0,0);INSERT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'NA'),1,0,0);</v>
      </c>
      <c r="AR2" t="str">
        <f>assignmentSQL('Master Table'!AR2,'Master Table'!AR$1,'Master Table'!$A2,'Master Table'!$B2)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'NA'),1,0,0);</v>
      </c>
      <c r="AS2" t="str">
        <f>assignmentSQL('Master Table'!AS2,'Master Table'!AS$1,'Master Table'!$A2,'Master Table'!$B2)</f>
        <v>INSERT INTO Contact_ProductLine_Map (ContactId, ProductLineId, RegionId, IsSales, IsPM, IsUserAdvocate) VALUES ((SELECT ContactId FROM Contact WHERE Name = 'George Castle'), (SELECT ProductLineId FROM ProductLine WHERE Name = 'Amulet'), (SELECT RegionID FROM Region WHERE Name = 'NA'),1,0,0);</v>
      </c>
      <c r="AT2" t="str">
        <f>assignmentSQL('Master Table'!AT2,'Master Table'!AT$1,'Master Table'!$A2,'Master Table'!$B2)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'NA'),1,0,0);</v>
      </c>
      <c r="AU2" t="str">
        <f>assignmentSQL('Master Table'!AU2,'Master Table'!AU$1,'Master Table'!$A2,'Master Table'!$B2)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'NA'),1,0,0);</v>
      </c>
      <c r="AV2" t="str">
        <f>assignmentSQL('Master Table'!AV2,'Master Table'!AV$1,'Master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Design Integration'), (SELECT RegionID FROM Region WHERE Name = 'NA'),1,0,0);</v>
      </c>
      <c r="AW2" t="str">
        <f>assignmentSQL('Master Table'!AW2,'Master Table'!AW$1,'Master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Issues Resolution'), (SELECT RegionID FROM Region WHERE Name = 'NA'),1,0,0);</v>
      </c>
      <c r="AX2" t="str">
        <f>assignmentSQL('Master Table'!AX2,'Master Table'!AX$1,'Master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Explorer Civil 3D Integration Module'), (SELECT RegionID FROM Region WHERE Name = 'NA'),1,0,0);</v>
      </c>
      <c r="AY2" t="str">
        <f>assignmentSQL('Master Table'!AY2,'Master Table'!AY$1,'Master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Explorer Revit Integration Module'), (SELECT RegionID FROM Region WHERE Name = 'NA'),1,0,0);</v>
      </c>
      <c r="AZ2" t="str">
        <f>assignmentSQL('Master Table'!AZ2,'Master Table'!AZ$1,'Master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Explorer Office Integration Module'), (SELECT RegionID FROM Region WHERE Name = 'NA'),1,0,0);</v>
      </c>
      <c r="BA2" t="str">
        <f>assignmentSQL('Master Table'!BA2,'Master Table'!BA$1,'Master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Edge Mobile'), (SELECT RegionID FROM Region WHERE Name = 'NA'),1,0,0);</v>
      </c>
      <c r="BB2" t="str">
        <f>assignmentSQL('Master Table'!BB2,'Master Table'!BB$1,'Master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WorkSite'), (SELECT RegionID FROM Region WHERE Name = 'NA'),1,0,0);</v>
      </c>
      <c r="BC2" t="str">
        <f>assignmentSQL('Master Table'!BC2,'Master Table'!BC$1,'Master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Edge'), (SELECT RegionID FROM Region WHERE Name = 'NA'),1,0,0);</v>
      </c>
      <c r="BD2" t="str">
        <f>assignmentSQL('Master Table'!BD2,'Master Table'!BD$1,'Master Table'!$A2,'Master Table'!$B2)</f>
        <v>INSERT INTO Contact_ProductLine_Map (ContactId, ProductLineId, RegionId, IsSales, IsPM, IsUserAdvocate) VALUES ((SELECT ContactId FROM Contact WHERE Name = 'Fabian Folgar'), (SELECT ProductLineId FROM ProductLine WHERE Name = 'Navigator CE'), (SELECT RegionID FROM Region WHERE Name = 'NA'),1,0,0);INSERT INTO Contact_ProductLine_Map (ContactId, ProductLineId, RegionId, IsSales, IsPM, IsUserAdvocate) VALUES ((SELECT ContactId FROM Contact WHERE Name = 'Vince DeFlavia'), (SELECT ProductLineId FROM ProductLine WHERE Name = 'Navigator CE'), (SELECT RegionID FROM Region WHERE Name = 'NA'),1,0,0);</v>
      </c>
      <c r="BE2" t="str">
        <f>assignmentSQL('Master Table'!BE2,'Master Table'!BE$1,'Master Table'!$A2,'Master Table'!$B2)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'NA'),1,0,0);</v>
      </c>
      <c r="BF2" t="str">
        <f>assignmentSQL('Master Table'!BF2,'Master Table'!BF$1,'Master Table'!$A2,'Master Table'!$B2)</f>
        <v>INSERT INTO Contact_ProductLine_Map (ContactId, ProductLineId, RegionId, IsSales, IsPM, IsUserAdvocate) VALUES ((SELECT ContactId FROM Contact WHERE Name = 'Mary Cay Cousart'), (SELECT ProductLineId FROM ProductLine WHERE Name = 'EADOC UI Upgrade'), (SELECT RegionID FROM Region WHERE Name = 'NA'),1,0,0);</v>
      </c>
      <c r="BG2" t="str">
        <f>assignmentSQL('Master Table'!BG2,'Master Table'!BG$1,'Master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'Deliverables Management'), (SELECT RegionID FROM Region WHERE Name = 'NA'),1,0,0);</v>
      </c>
      <c r="BH2" t="str">
        <f>assignmentSQL('Master Table'!BH2,'Master Table'!BH$1,'Master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'Bentley Automation Service CONNECT Edition'), (SELECT RegionID FROM Region WHERE Name = 'NA'),1,0,0);</v>
      </c>
      <c r="BI2" t="str">
        <f>assignmentSQL('Master Table'!BI2,'Master Table'!BI$1,'Master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"Field Data Management'), (SELECT RegionID FROM Region WHERE Name = 'NA'),1,0,0);</v>
      </c>
      <c r="BJ2" t="str">
        <f>assignmentSQL('Master Table'!BJ2,'Master Table'!BJ$1,'Master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i-model Composition Server for PDF'), (SELECT RegionID FROM Region WHERE Name = 'NA'),1,0,0);</v>
      </c>
      <c r="BK2" t="str">
        <f>assignmentSQL('Master Table'!BK2,'Master Table'!BK$1,'Master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InterPlot Server and Interplot Organizer'), (SELECT RegionID FROM Region WHERE Name = 'NA'),1,0,0);</v>
      </c>
      <c r="BL2" t="str">
        <f>assignmentSQL('Master Table'!BL2,'Master Table'!BL$1,'Master Table'!$A2,'Master Table'!$B2)</f>
        <v>INSERT INTO Contact_ProductLine_Map (ContactId, ProductLineId, RegionId, IsSales, IsPM, IsUserAdvocate) VALUES ((SELECT ContactId FROM Contact WHERE Name = 'Tom Atkinson'), (SELECT ProductLineId FROM ProductLine WHERE Name = 'ProjectWise i-model Composition Server for i-models'), (SELECT RegionID FROM Region WHERE Name = 'NA'),1,0,0);</v>
      </c>
    </row>
    <row r="3" spans="3:64" x14ac:dyDescent="0.25">
      <c r="C3" t="str">
        <f>assignmentSQL('Master Table'!C3,'Master Table'!C$1,'Master Table'!$A3,'Master Table'!$B3)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'NA'),0,1,0);</v>
      </c>
      <c r="D3" t="str">
        <f>assignmentSQL('Master Table'!D3,'Master Table'!D$1,'Master Table'!$A3,'Master Table'!$B3)</f>
        <v>INSERT INTO Contact_ProductLine_Map (ContactId, ProductLineId, RegionId, IsSales, IsPM, IsUserAdvocate) VALUES ((SELECT ContactId FROM Contact WHERE Name = 'Josh Taylor'), (SELECT ProductLineId FROM ProductLine WHERE Name = 'RAM'), (SELECT RegionID FROM Region WHERE Name = 'NA'),0,1,0);</v>
      </c>
      <c r="E3" t="str">
        <f>assignmentSQL('Master Table'!E3,'Master Table'!E$1,'Master Table'!$A3,'Master Table'!$B3)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'NA'),0,1,0);INSERT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'NA'),0,1,0);</v>
      </c>
      <c r="F3" t="str">
        <f>assignmentSQL('Master Table'!F3,'Master Table'!F$1,'Master Table'!$A3,'Master Table'!$B3)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'NA'),0,1,0);</v>
      </c>
      <c r="G3" t="str">
        <f>assignmentSQL('Master Table'!G3,'Master Table'!G$1,'Master Table'!$A3,'Master Table'!$B3)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'NA'),0,1,0);</v>
      </c>
      <c r="H3" t="str">
        <f>assignmentSQL('Master Table'!H3,'Master Table'!H$1,'Master Table'!$A3,'Master Table'!$B3)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'NA'),0,1,0);</v>
      </c>
      <c r="I3" t="str">
        <f>assignmentSQL('Master Table'!I3,'Master Table'!I$1,'Master Table'!$A3,'Master Table'!$B3)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'NA'),0,1,0);</v>
      </c>
      <c r="J3" t="str">
        <f>assignmentSQL('Master Table'!J3,'Master Table'!J$1,'Master Table'!$A3,'Master Table'!$B3)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'NA'),0,1,0);</v>
      </c>
      <c r="K3" t="str">
        <f>assignmentSQL('Master Table'!K3,'Master Table'!K$1,'Master Table'!$A3,'Master Table'!$B3)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'NA'),0,1,0);</v>
      </c>
      <c r="L3" t="str">
        <f>assignmentSQL('Master Table'!L3,'Master Table'!L$1,'Master Table'!$A3,'Master Table'!$B3)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'NA'),0,1,0);</v>
      </c>
      <c r="M3" t="str">
        <f>assignmentSQL('Master Table'!M3,'Master Table'!M$1,'Master Table'!$A3,'Master Table'!$B3)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'NA'),0,1,0);</v>
      </c>
      <c r="N3" t="str">
        <f>assignmentSQL('Master Table'!N3,'Master Table'!N$1,'Master Table'!$A3,'Master Table'!$B3)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'NA'),0,1,0);</v>
      </c>
      <c r="O3" t="str">
        <f>assignmentSQL('Master Table'!O3,'Master Table'!O$1,'Master Table'!$A3,'Master Table'!$B3)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'NA'),0,1,0);</v>
      </c>
      <c r="P3" t="str">
        <f>assignmentSQL('Master Table'!P3,'Master Table'!P$1,'Master Table'!$A3,'Master Table'!$B3)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'NA'),0,1,0);</v>
      </c>
      <c r="Q3" t="str">
        <f>assignmentSQL('Master Table'!Q3,'Master Table'!Q$1,'Master Table'!$A3,'Master Table'!$B3)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'NA'),0,1,0);</v>
      </c>
      <c r="R3" t="str">
        <f>assignmentSQL('Master Table'!R3,'Master Table'!R$1,'Master Table'!$A3,'Master Table'!$B3)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'NA'),0,1,0);</v>
      </c>
      <c r="S3" t="str">
        <f>assignmentSQL('Master Table'!S3,'Master Table'!S$1,'Master Table'!$A3,'Master Table'!$B3)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'NA'),0,1,0);</v>
      </c>
      <c r="T3" t="str">
        <f>assignmentSQL('Master Table'!T3,'Master Table'!T$1,'Master Table'!$A3,'Master Table'!$B3)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'NA'),0,1,0);</v>
      </c>
      <c r="U3" t="str">
        <f>assignmentSQL('Master Table'!U3,'Master Table'!U$1,'Master Table'!$A3,'Master Table'!$B3)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'NA'),0,1,0);</v>
      </c>
      <c r="V3" t="str">
        <f>assignmentSQL('Master Table'!V3,'Master Table'!V$1,'Master Table'!$A3,'Master Table'!$B3)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'NA'),0,1,0);</v>
      </c>
      <c r="W3" t="str">
        <f>assignmentSQL('Master Table'!W3,'Master Table'!W$1,'Master Table'!$A3,'Master Table'!$B3)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'NA'),0,1,0);</v>
      </c>
      <c r="X3" t="str">
        <f>assignmentSQL('Master Table'!X3,'Master Table'!X$1,'Master Table'!$A3,'Master Table'!$B3)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'NA'),0,1,0);</v>
      </c>
      <c r="Y3" t="str">
        <f>assignmentSQL('Master Table'!Y3,'Master Table'!Y$1,'Master Table'!$A3,'Master Table'!$B3)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'NA'),0,1,0);</v>
      </c>
      <c r="Z3" t="str">
        <f>assignmentSQL('Master Table'!Z3,'Master Table'!Z$1,'Master Table'!$A3,'Master Table'!$B3)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'NA'),0,1,0);</v>
      </c>
      <c r="AA3" t="str">
        <f>assignmentSQL('Master Table'!AA3,'Master Table'!AA$1,'Master Table'!$A3,'Master Table'!$B3)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'NA'),0,1,0);</v>
      </c>
      <c r="AB3" t="str">
        <f>assignmentSQL('Master Table'!AB3,'Master Table'!AB$1,'Master Table'!$A3,'Master Table'!$B3)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'NA'),0,1,0);</v>
      </c>
      <c r="AC3" t="str">
        <f>assignmentSQL('Master Table'!AC3,'Master Table'!AC$1,'Master Table'!$A3,'Master Table'!$B3)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'NA'),0,1,0);</v>
      </c>
      <c r="AD3" t="str">
        <f>assignmentSQL('Master Table'!AD3,'Master Table'!AD$1,'Master Table'!$A3,'Master Table'!$B3)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'NA'),0,1,0);</v>
      </c>
      <c r="AE3" t="str">
        <f>assignmentSQL('Master Table'!AE3,'Master Table'!AE$1,'Master Table'!$A3,'Master Table'!$B3)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'NA'),0,1,0);</v>
      </c>
      <c r="AF3" t="str">
        <f>assignmentSQL('Master Table'!AF3,'Master Table'!AF$1,'Master Table'!$A3,'Master Table'!$B3)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'NA'),0,1,0);</v>
      </c>
      <c r="AG3" t="str">
        <f>assignmentSQL('Master Table'!AG3,'Master Table'!AG$1,'Master Table'!$A3,'Master Table'!$B3)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'NA'),0,1,0);</v>
      </c>
      <c r="AH3" t="str">
        <f>assignmentSQL('Master Table'!AH3,'Master Table'!AH$1,'Master Table'!$A3,'Master Table'!$B3)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'NA'),0,1,0);</v>
      </c>
      <c r="AI3" t="str">
        <f>assignmentSQL('Master Table'!AI3,'Master Table'!AI$1,'Master Table'!$A3,'Master Table'!$B3)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'NA'),0,1,0);</v>
      </c>
      <c r="AJ3" t="str">
        <f>assignmentSQL('Master Table'!AJ3,'Master Table'!AJ$1,'Master Table'!$A3,'Master Table'!$B3)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'NA'),0,1,0);</v>
      </c>
      <c r="AK3" t="str">
        <f>assignmentSQL('Master Table'!AK3,'Master Table'!AK$1,'Master Table'!$A3,'Master Table'!$B3)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'NA'),0,1,0);</v>
      </c>
      <c r="AL3" t="str">
        <f>assignmentSQL('Master Table'!AL3,'Master Table'!AL$1,'Master Table'!$A3,'Master Table'!$B3)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'NA'),0,1,0);</v>
      </c>
      <c r="AM3" t="str">
        <f>assignmentSQL('Master Table'!AM3,'Master Table'!AM$1,'Master Table'!$A3,'Master Table'!$B3)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'NA'),0,1,0);</v>
      </c>
      <c r="AN3" t="str">
        <f>assignmentSQL('Master Table'!AN3,'Master Table'!AN$1,'Master Table'!$A3,'Master Table'!$B3)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'NA'),0,1,0);</v>
      </c>
      <c r="AO3" t="str">
        <f>assignmentSQL('Master Table'!AO3,'Master Table'!AO$1,'Master Table'!$A3,'Master Table'!$B3)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'NA'),0,1,0);</v>
      </c>
      <c r="AP3" t="str">
        <f>assignmentSQL('Master Table'!AP3,'Master Table'!AP$1,'Master Table'!$A3,'Master Table'!$B3)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'NA'),0,1,0);</v>
      </c>
      <c r="AQ3" t="str">
        <f>assignmentSQL('Master Table'!AQ3,'Master Table'!AQ$1,'Master Table'!$A3,'Master Table'!$B3)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'NA'),0,1,0);</v>
      </c>
      <c r="AR3" t="str">
        <f>assignmentSQL('Master Table'!AR3,'Master Table'!AR$1,'Master Table'!$A3,'Master Table'!$B3)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'NA'),0,1,0);</v>
      </c>
      <c r="AS3" t="str">
        <f>assignmentSQL('Master Table'!AS3,'Master Table'!AS$1,'Master Table'!$A3,'Master Table'!$B3)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'NA'),0,1,0);</v>
      </c>
      <c r="AT3" t="str">
        <f>assignmentSQL('Master Table'!AT3,'Master Table'!AT$1,'Master Table'!$A3,'Master Table'!$B3)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'NA'),0,1,0);</v>
      </c>
      <c r="AU3" t="str">
        <f>assignmentSQL('Master Table'!AU3,'Master Table'!AU$1,'Master Table'!$A3,'Master Table'!$B3)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'NA'),0,1,0);</v>
      </c>
      <c r="AV3" t="str">
        <f>assignmentSQL('Master Table'!AV3,'Master Table'!AV$1,'Master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'NA'),0,1,0);</v>
      </c>
      <c r="AW3" t="str">
        <f>assignmentSQL('Master Table'!AW3,'Master Table'!AW$1,'Master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'NA'),0,1,0);</v>
      </c>
      <c r="AX3" t="str">
        <f>assignmentSQL('Master Table'!AX3,'Master Table'!AX$1,'Master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'NA'),0,1,0);</v>
      </c>
      <c r="AY3" t="str">
        <f>assignmentSQL('Master Table'!AY3,'Master Table'!AY$1,'Master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'NA'),0,1,0);</v>
      </c>
      <c r="AZ3" t="str">
        <f>assignmentSQL('Master Table'!AZ3,'Master Table'!AZ$1,'Master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'NA'),0,1,0);</v>
      </c>
      <c r="BA3" t="str">
        <f>assignmentSQL('Master Table'!BA3,'Master Table'!BA$1,'Master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'NA'),0,1,0);INSERT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'NA'),0,1,0);</v>
      </c>
      <c r="BB3" t="str">
        <f>assignmentSQL('Master Table'!BB3,'Master Table'!BB$1,'Master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'NA'),0,1,0);INSERT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'NA'),0,1,0);</v>
      </c>
      <c r="BC3" t="str">
        <f>assignmentSQL('Master Table'!BC3,'Master Table'!BC$1,'Master Table'!$A3,'Master Table'!$B3)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'NA'),0,1,0);INSERT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'NA'),0,1,0);</v>
      </c>
      <c r="BD3" t="str">
        <f>assignmentSQL('Master Table'!BD3,'Master Table'!BD$1,'Master Table'!$A3,'Master Table'!$B3)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'NA'),0,1,0);</v>
      </c>
      <c r="BE3" t="str">
        <f>assignmentSQL('Master Table'!BE3,'Master Table'!BE$1,'Master Table'!$A3,'Master Table'!$B3)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'NA'),0,1,0);</v>
      </c>
      <c r="BF3" t="str">
        <f>assignmentSQL('Master Table'!BF3,'Master Table'!BF$1,'Master Table'!$A3,'Master Table'!$B3)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'NA'),0,1,0);</v>
      </c>
      <c r="BG3" t="str">
        <f>assignmentSQL('Master Table'!BG3,'Master Table'!BG$1,'Master Table'!$A3,'Master Table'!$B3)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'NA'),0,1,0);</v>
      </c>
      <c r="BH3" t="str">
        <f>assignmentSQL('Master Table'!BH3,'Master Table'!BH$1,'Master Table'!$A3,'Master Table'!$B3)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'NA'),0,1,0);</v>
      </c>
      <c r="BI3" t="str">
        <f>assignmentSQL('Master Table'!BI3,'Master Table'!BI$1,'Master Table'!$A3,'Master Table'!$B3)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'NA'),0,1,0);</v>
      </c>
      <c r="BJ3" t="str">
        <f>assignmentSQL('Master Table'!BJ3,'Master Table'!BJ$1,'Master Table'!$A3,'Master Table'!$B3)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'NA'),0,1,0);</v>
      </c>
      <c r="BK3" t="str">
        <f>assignmentSQL('Master Table'!BK3,'Master Table'!BK$1,'Master Table'!$A3,'Master Table'!$B3)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'NA'),0,1,0);</v>
      </c>
      <c r="BL3" t="str">
        <f>assignmentSQL('Master Table'!BL3,'Master Table'!BL$1,'Master Table'!$A3,'Master Table'!$B3)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'NA'),0,1,0);</v>
      </c>
    </row>
    <row r="4" spans="3:64" x14ac:dyDescent="0.25">
      <c r="C4" t="str">
        <f>assignmentSQL('Master Table'!C4,'Master Table'!C$1,'Master Table'!$A4,'Master Table'!$B4)</f>
        <v>INSERT INTO Contact_ProductLine_Map (ContactId, ProductLineId, RegionId, IsSales, IsPM, IsUserAdvocate) VALUES ((SELECT ContactId FROM Contact WHERE Name = 'Karimu Rashad'), (SELECT ProductLineId FROM ProductLine WHERE Name = 'STAAD'), (SELECT RegionID FROM Region WHERE Name = 'NA'),0,0,1);</v>
      </c>
      <c r="D4" t="str">
        <f>assignmentSQL('Master Table'!D4,'Master Table'!D$1,'Master Table'!$A4,'Master Table'!$B4)</f>
        <v>INSERT INTO Contact_ProductLine_Map (ContactId, ProductLineId, RegionId, IsSales, IsPM, IsUserAdvocate) VALUES ((SELECT ContactId FROM Contact WHERE Name = 'Karl Gullerud'), (SELECT ProductLineId FROM ProductLine WHERE Name = 'RAM'), (SELECT RegionID FROM Region WHERE Name = 'NA'),0,0,1);</v>
      </c>
      <c r="E4" t="str">
        <f>assignmentSQL('Master Table'!E4,'Master Table'!E$1,'Master Table'!$A4,'Master Table'!$B4)</f>
        <v>INSERT INTO Contact_ProductLine_Map (ContactId, ProductLineId, RegionId, IsSales, IsPM, IsUserAdvocate) VALUES ((SELECT ContactId FROM Contact WHERE Name = 'Mike Dattilio'), (SELECT ProductLineId FROM ProductLine WHERE Name = 'AUTOPIPE'), (SELECT RegionID FROM Region WHERE Name = 'NA'),0,0,1);</v>
      </c>
      <c r="F4" t="str">
        <f>assignmentSQL('Master Table'!F4,'Master Table'!F$1,'Master Table'!$A4,'Master Table'!$B4)</f>
        <v>INSERT INTO Contact_ProductLine_Map (ContactId, ProductLineId, RegionId, IsSales, IsPM, IsUserAdvocate) VALUES ((SELECT ContactId FROM Contact WHERE Name = 'Geoff McDonald'), (SELECT ProductLineId FROM ProductLine WHERE Name = 'SACS'), (SELECT RegionID FROM Region WHERE Name = 'NA'),0,0,1);</v>
      </c>
      <c r="G4" t="str">
        <f>assignmentSQL('Master Table'!G4,'Master Table'!G$1,'Master Table'!$A4,'Master Table'!$B4)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'NA'),0,0,1);</v>
      </c>
      <c r="H4" t="str">
        <f>assignmentSQL('Master Table'!H4,'Master Table'!H$1,'Master Table'!$A4,'Master Table'!$B4)</f>
        <v>INSERT INTO Contact_ProductLine_Map (ContactId, ProductLineId, RegionId, IsSales, IsPM, IsUserAdvocate) VALUES ((SELECT ContactId FROM Contact WHERE Name = 'Aswin Bandaru'), (SELECT ProductLineId FROM ProductLine WHERE Name = 'MOSES'), (SELECT RegionID FROM Region WHERE Name = 'NA'),0,0,1);</v>
      </c>
      <c r="I4" t="str">
        <f>assignmentSQL('Master Table'!I4,'Master Table'!I$1,'Master Table'!$A4,'Master Table'!$B4)</f>
        <v>INSERT INTO Contact_ProductLine_Map (ContactId, ProductLineId, RegionId, IsSales, IsPM, IsUserAdvocate) VALUES ((SELECT ContactId FROM Contact WHERE Name = 'Diether Wagner'), (SELECT ProductLineId FROM ProductLine WHERE Name = 'RM'), (SELECT RegionID FROM Region WHERE Name = 'NA'),0,0,1);</v>
      </c>
      <c r="J4" t="str">
        <f>assignmentSQL('Master Table'!J4,'Master Table'!J$1,'Master Table'!$A4,'Master Table'!$B4)</f>
        <v>INSERT INTO Contact_ProductLine_Map (ContactId, ProductLineId, RegionId, IsSales, IsPM, IsUserAdvocate) VALUES ((SELECT ContactId FROM Contact WHERE Name = 'Dilip Matange'), (SELECT ProductLineId FROM ProductLine WHERE Name = 'LEAP'), (SELECT RegionID FROM Region WHERE Name = 'NA'),0,0,1);</v>
      </c>
      <c r="K4" t="str">
        <f>assignmentSQL('Master Table'!K4,'Master Table'!K$1,'Master Table'!$A4,'Master Table'!$B4)</f>
        <v>INSERT INTO Contact_ProductLine_Map (ContactId, ProductLineId, RegionId, IsSales, IsPM, IsUserAdvocate) VALUES ((SELECT ContactId FROM Contact WHERE Name = 'Dilip Matange'), (SELECT ProductLineId FROM ProductLine WHERE Name = 'OBM'), (SELECT RegionID FROM Region WHERE Name = 'NA'),0,0,1);</v>
      </c>
      <c r="L4" t="str">
        <f>assignmentSQL('Master Table'!L4,'Master Table'!L$1,'Master Table'!$A4,'Master Table'!$B4)</f>
        <v>INSERT INTO Contact_ProductLine_Map (ContactId, ProductLineId, RegionId, IsSales, IsPM, IsUserAdvocate) VALUES ((SELECT ContactId FROM Contact WHERE Name = 'Dilip Matange'), (SELECT ProductLineId FROM ProductLine WHERE Name = 'LARS'), (SELECT RegionID FROM Region WHERE Name = 'NA'),0,0,1);</v>
      </c>
      <c r="M4" t="str">
        <f>assignmentSQL('Master Table'!M4,'Master Table'!M$1,'Master Table'!$A4,'Master Table'!$B4)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'NA'),0,0,1);</v>
      </c>
      <c r="N4" t="str">
        <f>assignmentSQL('Master Table'!N4,'Master Table'!N$1,'Master Table'!$A4,'Master Table'!$B4)</f>
        <v>INSERT INTO Contact_ProductLine_Map (ContactId, ProductLineId, RegionId, IsSales, IsPM, IsUserAdvocate) VALUES ((SELECT ContactId FROM Contact WHERE Name = 'Joel Rosenbaum'), (SELECT ProductLineId FROM ProductLine WHERE Name = 'AECOsim Building Designer'), (SELECT RegionID FROM Region WHERE Name = 'NA'),0,0,1);</v>
      </c>
      <c r="O4" t="str">
        <f>assignmentSQL('Master Table'!O4,'Master Table'!O$1,'Master Table'!$A4,'Master Table'!$B4)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'NA'),0,0,1);</v>
      </c>
      <c r="P4" t="str">
        <f>assignmentSQL('Master Table'!P4,'Master Table'!P$1,'Master Table'!$A4,'Master Table'!$B4)</f>
        <v>INSERT INTO Contact_ProductLine_Map (ContactId, ProductLineId, RegionId, IsSales, IsPM, IsUserAdvocate) VALUES ((SELECT ContactId FROM Contact WHERE Name = 'Joel Rosenbaum'), (SELECT ProductLineId FROM ProductLine WHERE Name = 'Hevacomp'), (SELECT RegionID FROM Region WHERE Name = 'NA'),0,0,1);</v>
      </c>
      <c r="Q4" t="str">
        <f>assignmentSQL('Master Table'!Q4,'Master Table'!Q$1,'Master Table'!$A4,'Master Table'!$B4)</f>
        <v>INSERT INTO Contact_ProductLine_Map (ContactId, ProductLineId, RegionId, IsSales, IsPM, IsUserAdvocate) VALUES ((SELECT ContactId FROM Contact WHERE Name = 'Derricke Gray'), (SELECT ProductLineId FROM ProductLine WHERE Name = 'GEOPAK'), (SELECT RegionID FROM Region WHERE Name = 'NA'),0,0,1);</v>
      </c>
      <c r="R4" t="str">
        <f>assignmentSQL('Master Table'!R4,'Master Table'!R$1,'Master Table'!$A4,'Master Table'!$B4)</f>
        <v>INSERT INTO Contact_ProductLine_Map (ContactId, ProductLineId, RegionId, IsSales, IsPM, IsUserAdvocate) VALUES ((SELECT ContactId FROM Contact WHERE Name = 'Derricke Gray'), (SELECT ProductLineId FROM ProductLine WHERE Name = 'InRoads'), (SELECT RegionID FROM Region WHERE Name = 'NA'),0,0,1);</v>
      </c>
      <c r="S4" t="str">
        <f>assignmentSQL('Master Table'!S4,'Master Table'!S$1,'Master Table'!$A4,'Master Table'!$B4)</f>
        <v>INSERT INTO Contact_ProductLine_Map (ContactId, ProductLineId, RegionId, IsSales, IsPM, IsUserAdvocate) VALUES ((SELECT ContactId FROM Contact WHERE Name = 'Derricke Gray'), (SELECT ProductLineId FROM ProductLine WHERE Name = 'MX'), (SELECT RegionID FROM Region WHERE Name = 'NA'),0,0,1);</v>
      </c>
      <c r="T4" t="str">
        <f>assignmentSQL('Master Table'!T4,'Master Table'!T$1,'Master Table'!$A4,'Master Table'!$B4)</f>
        <v>INSERT INTO Contact_ProductLine_Map (ContactId, ProductLineId, RegionId, IsSales, IsPM, IsUserAdvocate) VALUES ((SELECT ContactId FROM Contact WHERE Name = 'Lisa Whitson'), (SELECT ProductLineId FROM ProductLine WHERE Name = 'OpenRail'), (SELECT RegionID FROM Region WHERE Name = 'NA'),0,0,1);</v>
      </c>
      <c r="U4" t="str">
        <f>assignmentSQL('Master Table'!U4,'Master Table'!U$1,'Master Table'!$A4,'Master Table'!$B4)</f>
        <v>INSERT INTO Contact_ProductLine_Map (ContactId, ProductLineId, RegionId, IsSales, IsPM, IsUserAdvocate) VALUES ((SELECT ContactId FROM Contact WHERE Name = 'Derricke Gray'), (SELECT ProductLineId FROM ProductLine WHERE Name = 'OpenRoads'), (SELECT RegionID FROM Region WHERE Name = 'NA'),0,0,1);</v>
      </c>
      <c r="V4" t="str">
        <f>assignmentSQL('Master Table'!V4,'Master Table'!V$1,'Master Table'!$A4,'Master Table'!$B4)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'NA'),0,0,1);</v>
      </c>
      <c r="W4" t="str">
        <f>assignmentSQL('Master Table'!W4,'Master Table'!W$1,'Master Table'!$A4,'Master Table'!$B4)</f>
        <v>INSERT INTO Contact_ProductLine_Map (ContactId, ProductLineId, RegionId, IsSales, IsPM, IsUserAdvocate) VALUES ((SELECT ContactId FROM Contact WHERE Name = 'Katie Aguilar'), (SELECT ProductLineId FROM ProductLine WHERE Name = 'gINT'), (SELECT RegionID FROM Region WHERE Name = 'NA'),0,0,1);</v>
      </c>
      <c r="X4" t="str">
        <f>assignmentSQL('Master Table'!X4,'Master Table'!X$1,'Master Table'!$A4,'Master Table'!$B4)</f>
        <v>INSERT INTO Contact_ProductLine_Map (ContactId, ProductLineId, RegionId, IsSales, IsPM, IsUserAdvocate) VALUES ((SELECT ContactId FROM Contact WHERE Name = 'Ed Krkoska'), (SELECT ProductLineId FROM ProductLine WHERE Name = 'AutoPLANT'), (SELECT RegionID FROM Region WHERE Name = 'NA'),0,0,1);</v>
      </c>
      <c r="Y4" t="str">
        <f>assignmentSQL('Master Table'!Y4,'Master Table'!Y$1,'Master Table'!$A4,'Master Table'!$B4)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'NA'),0,0,1);</v>
      </c>
      <c r="Z4" t="str">
        <f>assignmentSQL('Master Table'!Z4,'Master Table'!Z$1,'Master Table'!$A4,'Master Table'!$B4)</f>
        <v>INSERT INTO Contact_ProductLine_Map (ContactId, ProductLineId, RegionId, IsSales, IsPM, IsUserAdvocate) VALUES ((SELECT ContactId FROM Contact WHERE Name = 'Rich Scotti'), (SELECT ProductLineId FROM ProductLine WHERE Name = 'OpenPlant'), (SELECT RegionID FROM Region WHERE Name = 'NA'),0,0,1);</v>
      </c>
      <c r="AA4" t="str">
        <f>assignmentSQL('Master Table'!AA4,'Master Table'!AA$1,'Master Table'!$A4,'Master Table'!$B4)</f>
        <v>INSERT INTO Contact_ProductLine_Map (ContactId, ProductLineId, RegionId, IsSales, IsPM, IsUserAdvocate) VALUES ((SELECT ContactId FROM Contact WHERE Name = 'Ari Rantasalo'), (SELECT ProductLineId FROM ProductLine WHERE Name = 'PlantSpace'), (SELECT RegionID FROM Region WHERE Name = 'NA'),0,0,1);</v>
      </c>
      <c r="AB4" t="str">
        <f>assignmentSQL('Master Table'!AB4,'Master Table'!AB$1,'Master Table'!$A4,'Master Table'!$B4)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'NA'),0,0,1);</v>
      </c>
      <c r="AC4" t="str">
        <f>assignmentSQL('Master Table'!AC4,'Master Table'!AC$1,'Master Table'!$A4,'Master Table'!$B4)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'NA'),0,0,1);</v>
      </c>
      <c r="AD4" t="str">
        <f>assignmentSQL('Master Table'!AD4,'Master Table'!AD$1,'Master Table'!$A4,'Master Table'!$B4)</f>
        <v>INSERT INTO Contact_ProductLine_Map (ContactId, ProductLineId, RegionId, IsSales, IsPM, IsUserAdvocate) VALUES ((SELECT ContactId FROM Contact WHERE Name = 'Mike Barkasi'), (SELECT ProductLineId FROM ProductLine WHERE Name = 'Pointools'), (SELECT RegionID FROM Region WHERE Name = 'NA'),0,0,1);</v>
      </c>
      <c r="AE4" t="str">
        <f>assignmentSQL('Master Table'!AE4,'Master Table'!AE$1,'Master Table'!$A4,'Master Table'!$B4)</f>
        <v>INSERT INTO Contact_ProductLine_Map (ContactId, ProductLineId, RegionId, IsSales, IsPM, IsUserAdvocate) VALUES ((SELECT ContactId FROM Contact WHERE Name = 'Mike Barkasi'), (SELECT ProductLineId FROM ProductLine WHERE Name = 'LumenRT'), (SELECT RegionID FROM Region WHERE Name = 'NA'),0,0,1);</v>
      </c>
      <c r="AF4" t="str">
        <f>assignmentSQL('Master Table'!AF4,'Master Table'!AF$1,'Master Table'!$A4,'Master Table'!$B4)</f>
        <v>INSERT INTO Contact_ProductLine_Map (ContactId, ProductLineId, RegionId, IsSales, IsPM, IsUserAdvocate) VALUES ((SELECT ContactId FROM Contact WHERE Name = 'Mike Barkasi'), (SELECT ProductLineId FROM ProductLine WHERE Name = 'ContextCapture'), (SELECT RegionID FROM Region WHERE Name = 'NA'),0,0,1);</v>
      </c>
      <c r="AG4" t="str">
        <f>assignmentSQL('Master Table'!AG4,'Master Table'!AG$1,'Master Table'!$A4,'Master Table'!$B4)</f>
        <v>INSERT INTO Contact_ProductLine_Map (ContactId, ProductLineId, RegionId, IsSales, IsPM, IsUserAdvocate) VALUES ((SELECT ContactId FROM Contact WHERE Name = 'Mike Barkasi'), (SELECT ProductLineId FROM ProductLine WHERE Name = 'Descartes'), (SELECT RegionID FROM Region WHERE Name = 'NA'),0,0,1);</v>
      </c>
      <c r="AH4" t="str">
        <f>assignmentSQL('Master Table'!AH4,'Master Table'!AH$1,'Master Table'!$A4,'Master Table'!$B4)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'NA'),0,0,1);</v>
      </c>
      <c r="AI4" t="str">
        <f>assignmentSQL('Master Table'!AI4,'Master Table'!AI$1,'Master Table'!$A4,'Master Table'!$B4)</f>
        <v>INSERT INTO Contact_ProductLine_Map (ContactId, ProductLineId, RegionId, IsSales, IsPM, IsUserAdvocate) VALUES ((SELECT ContactId FROM Contact WHERE Name = 'John Zwerlein'), (SELECT ProductLineId FROM ProductLine WHERE Name = 'promis*e'), (SELECT RegionID FROM Region WHERE Name = 'NA'),0,0,1);</v>
      </c>
      <c r="AJ4" t="str">
        <f>assignmentSQL('Master Table'!AJ4,'Master Table'!AJ$1,'Master Table'!$A4,'Master Table'!$B4)</f>
        <v>INSERT INTO Contact_ProductLine_Map (ContactId, ProductLineId, RegionId, IsSales, IsPM, IsUserAdvocate) VALUES ((SELECT ContactId FROM Contact WHERE Name = 'Cindy Stephens'), (SELECT ProductLineId FROM ProductLine WHERE Name = 'AssetWise'), (SELECT RegionID FROM Region WHERE Name = 'NA'),0,0,1);</v>
      </c>
      <c r="AK4" t="str">
        <f>assignmentSQL('Master Table'!AK4,'Master Table'!AK$1,'Master Table'!$A4,'Master Table'!$B4)</f>
        <v>INSERT INTO Contact_ProductLine_Map (ContactId, ProductLineId, RegionId, IsSales, IsPM, IsUserAdvocate) VALUES ((SELECT ContactId FROM Contact WHERE Name = 'David Crozier'), (SELECT ProductLineId FROM ProductLine WHERE Name = 'AssetWise APM'), (SELECT RegionID FROM Region WHERE Name = 'NA'),0,0,1);</v>
      </c>
      <c r="AL4" t="str">
        <f>assignmentSQL('Master Table'!AL4,'Master Table'!AL$1,'Master Table'!$A4,'Master Table'!$B4)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'NA'),0,0,1);</v>
      </c>
      <c r="AM4" t="str">
        <f>assignmentSQL('Master Table'!AM4,'Master Table'!AM$1,'Master Table'!$A4,'Master Table'!$B4)</f>
        <v>INSERT INTO Contact_ProductLine_Map (ContactId, ProductLineId, RegionId, IsSales, IsPM, IsUserAdvocate) VALUES ((SELECT ContactId FROM Contact WHERE Name = 'Linda Oliveira'), (SELECT ProductLineId FROM ProductLine WHERE Name = 'Map'), (SELECT RegionID FROM Region WHERE Name = 'NA'),0,0,1);</v>
      </c>
      <c r="AN4" t="str">
        <f>assignmentSQL('Master Table'!AN4,'Master Table'!AN$1,'Master Table'!$A4,'Master Table'!$B4)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'NA'),0,0,1);</v>
      </c>
      <c r="AO4" t="str">
        <f>assignmentSQL('Master Table'!AO4,'Master Table'!AO$1,'Master Table'!$A4,'Master Table'!$B4)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'NA'),0,0,1);</v>
      </c>
      <c r="AP4" t="str">
        <f>assignmentSQL('Master Table'!AP4,'Master Table'!AP$1,'Master Table'!$A4,'Master Table'!$B4)</f>
        <v>INSERT INTO Contact_ProductLine_Map (ContactId, ProductLineId, RegionId, IsSales, IsPM, IsUserAdvocate) VALUES ((SELECT ContactId FROM Contact WHERE Name = 'Kristen Dietrich'), (SELECT ProductLineId FROM ProductLine WHERE Name = 'Haestad'), (SELECT RegionID FROM Region WHERE Name = 'NA'),0,0,1);</v>
      </c>
      <c r="AQ4" t="str">
        <f>assignmentSQL('Master Table'!AQ4,'Master Table'!AQ$1,'Master Table'!$A4,'Master Table'!$B4)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'NA'),0,0,1);</v>
      </c>
      <c r="AR4" t="str">
        <f>assignmentSQL('Master Table'!AR4,'Master Table'!AR$1,'Master Table'!$A4,'Master Table'!$B4)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'NA'),0,0,1);</v>
      </c>
      <c r="AS4" t="str">
        <f>assignmentSQL('Master Table'!AS4,'Master Table'!AS$1,'Master Table'!$A4,'Master Table'!$B4)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'NA'),0,0,1);</v>
      </c>
      <c r="AT4" t="str">
        <f>assignmentSQL('Master Table'!AT4,'Master Table'!AT$1,'Master Table'!$A4,'Master Table'!$B4)</f>
        <v>INSERT INTO Contact_ProductLine_Map (ContactId, ProductLineId, RegionId, IsSales, IsPM, IsUserAdvocate) VALUES ((SELECT ContactId FROM Contact WHERE Name = 'Rick Wagner'), (SELECT ProductLineId FROM ProductLine WHERE Name = 'InspectTech'), (SELECT RegionID FROM Region WHERE Name = 'NA'),0,0,1);</v>
      </c>
      <c r="AU4" t="str">
        <f>assignmentSQL('Master Table'!AU4,'Master Table'!AU$1,'Master Table'!$A4,'Master Table'!$B4)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'NA'),0,0,1);</v>
      </c>
      <c r="AV4" t="str">
        <f>assignmentSQL('Master Table'!AV4,'Master Table'!AV$1,'Master Table'!$A4,'Master Table'!$B4)</f>
        <v>INSERT INTO Contact_ProductLine_Map (ContactId, ProductLineId, RegionId, IsSales, IsPM, IsUserAdvocate) VALUES ((SELECT ContactId FROM Contact WHERE Name = 'Dana Guthrie'), (SELECT ProductLineId FROM ProductLine WHERE Name = 'ProjectWise Design Integration'), (SELECT RegionID FROM Region WHERE Name = 'NA'),0,0,1);</v>
      </c>
      <c r="AW4" t="str">
        <f>assignmentSQL('Master Table'!AW4,'Master Table'!AW$1,'Master Table'!$A4,'Master Table'!$B4)</f>
        <v>INSERT INTO Contact_ProductLine_Map (ContactId, ProductLineId, RegionId, IsSales, IsPM, IsUserAdvocate) VALUES ((SELECT ContactId FROM Contact WHERE Name = 'Ranveer Basra'), (SELECT ProductLineId FROM ProductLine WHERE Name = 'ProjectWise Issues Resolution'), (SELECT RegionID FROM Region WHERE Name = 'NA'),0,0,1);</v>
      </c>
      <c r="AX4" t="str">
        <f>assignmentSQL('Master Table'!AX4,'Master Table'!AX$1,'Master Table'!$A4,'Master Table'!$B4)</f>
        <v>INSERT INTO Contact_ProductLine_Map (ContactId, ProductLineId, RegionId, IsSales, IsPM, IsUserAdvocate) VALUES ((SELECT ContactId FROM Contact WHERE Name = 'Raul Guerrero'), (SELECT ProductLineId FROM ProductLine WHERE Name = 'ProjectWise Explorer Civil 3D Integration Module'), (SELECT RegionID FROM Region WHERE Name = 'NA'),0,0,1);</v>
      </c>
      <c r="AY4" t="str">
        <f>assignmentSQL('Master Table'!AY4,'Master Table'!AY$1,'Master Table'!$A4,'Master Table'!$B4)</f>
        <v>INSERT INTO Contact_ProductLine_Map (ContactId, ProductLineId, RegionId, IsSales, IsPM, IsUserAdvocate) VALUES ((SELECT ContactId FROM Contact WHERE Name = 'Raul Guerrero'), (SELECT ProductLineId FROM ProductLine WHERE Name = 'ProjectWise Explorer Revit Integration Module'), (SELECT RegionID FROM Region WHERE Name = 'NA'),0,0,1);</v>
      </c>
      <c r="AZ4" t="str">
        <f>assignmentSQL('Master Table'!AZ4,'Master Table'!AZ$1,'Master Table'!$A4,'Master Table'!$B4)</f>
        <v>INSERT INTO Contact_ProductLine_Map (ContactId, ProductLineId, RegionId, IsSales, IsPM, IsUserAdvocate) VALUES ((SELECT ContactId FROM Contact WHERE Name = 'Vickie Hewitt'), (SELECT ProductLineId FROM ProductLine WHERE Name = 'ProjectWise Explorer Office Integration Module'), (SELECT RegionID FROM Region WHERE Name = 'NA'),0,0,1);</v>
      </c>
      <c r="BA4" t="str">
        <f>assignmentSQL('Master Table'!BA4,'Master Table'!BA$1,'Master Table'!$A4,'Master Table'!$B4)</f>
        <v>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'NA'),0,0,1);</v>
      </c>
      <c r="BB4" t="str">
        <f>assignmentSQL('Master Table'!BB4,'Master Table'!BB$1,'Master Table'!$A4,'Master Table'!$B4)</f>
        <v>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'NA'),0,0,1);</v>
      </c>
      <c r="BC4" t="str">
        <f>assignmentSQL('Master Table'!BC4,'Master Table'!BC$1,'Master Table'!$A4,'Master Table'!$B4)</f>
        <v>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'NA'),0,0,1);</v>
      </c>
      <c r="BD4" t="str">
        <f>assignmentSQL('Master Table'!BD4,'Master Table'!BD$1,'Master Table'!$A4,'Master Table'!$B4)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'NA'),0,0,1);</v>
      </c>
      <c r="BE4" t="str">
        <f>assignmentSQL('Master Table'!BE4,'Master Table'!BE$1,'Master Table'!$A4,'Master Table'!$B4)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'NA'),0,0,1);</v>
      </c>
      <c r="BF4" t="str">
        <f>assignmentSQL('Master Table'!BF4,'Master Table'!BF$1,'Master Table'!$A4,'Master Table'!$B4)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'NA'),0,0,1);</v>
      </c>
      <c r="BG4" t="str">
        <f>assignmentSQL('Master Table'!BG4,'Master Table'!BG$1,'Master Table'!$A4,'Master Table'!$B4)</f>
        <v>INSERT INTO Contact_ProductLine_Map (ContactId, ProductLineId, RegionId, IsSales, IsPM, IsUserAdvocate) VALUES ((SELECT ContactId FROM Contact WHERE Name = 'Molly Watts'), (SELECT ProductLineId FROM ProductLine WHERE Name = 'Deliverables Management'), (SELECT RegionID FROM Region WHERE Name = 'NA'),0,0,1);</v>
      </c>
      <c r="BH4" t="str">
        <f>assignmentSQL('Master Table'!BH4,'Master Table'!BH$1,'Master Table'!$A4,'Master Table'!$B4)</f>
        <v>INSERT INTO Contact_ProductLine_Map (ContactId, ProductLineId, RegionId, IsSales, IsPM, IsUserAdvocate) VALUES ((SELECT ContactId FROM Contact WHERE Name = 'Ranveer Basra'), (SELECT ProductLineId FROM ProductLine WHERE Name = 'Bentley Automation Service CONNECT Edition'), (SELECT RegionID FROM Region WHERE Name = 'NA'),0,0,1);</v>
      </c>
      <c r="BI4" t="str">
        <f>assignmentSQL('Master Table'!BI4,'Master Table'!BI$1,'Master Table'!$A4,'Master Table'!$B4)</f>
        <v>INSERT INTO Contact_ProductLine_Map (ContactId, ProductLineId, RegionId, IsSales, IsPM, IsUserAdvocate) VALUES ((SELECT ContactId FROM Contact WHERE Name = 'Ranveer Basra'), (SELECT ProductLineId FROM ProductLine WHERE Name = 'ProjectWise "Field Data Management'), (SELECT RegionID FROM Region WHERE Name = 'NA'),0,0,1);</v>
      </c>
      <c r="BJ4" t="str">
        <f>assignmentSQL('Master Table'!BJ4,'Master Table'!BJ$1,'Master Table'!$A4,'Master Table'!$B4)</f>
        <v>INSERT INTO Contact_ProductLine_Map (ContactId, ProductLineId, RegionId, IsSales, IsPM, IsUserAdvocate) VALUES ((SELECT ContactId FROM Contact WHERE Name = 'Marion Powell'), (SELECT ProductLineId FROM ProductLine WHERE Name = 'ProjectWise i-model Composition Server for PDF'), (SELECT RegionID FROM Region WHERE Name = 'NA'),0,0,1);</v>
      </c>
      <c r="BK4" t="str">
        <f>assignmentSQL('Master Table'!BK4,'Master Table'!BK$1,'Master Table'!$A4,'Master Table'!$B4)</f>
        <v>INSERT INTO Contact_ProductLine_Map (ContactId, ProductLineId, RegionId, IsSales, IsPM, IsUserAdvocate) VALUES ((SELECT ContactId FROM Contact WHERE Name = 'Todd Combs'), (SELECT ProductLineId FROM ProductLine WHERE Name = 'ProjectWise InterPlot Server and Interplot Organizer'), (SELECT RegionID FROM Region WHERE Name = 'NA'),0,0,1);</v>
      </c>
      <c r="BL4" t="str">
        <f>assignmentSQL('Master Table'!BL4,'Master Table'!BL$1,'Master Table'!$A4,'Master Table'!$B4)</f>
        <v>INSERT INTO Contact_ProductLine_Map (ContactId, ProductLineId, RegionId, IsSales, IsPM, IsUserAdvocate) VALUES ((SELECT ContactId FROM Contact WHERE Name = 'Todd Combs'), (SELECT ProductLineId FROM ProductLine WHERE Name = 'ProjectWise i-model Composition Server for i-models'), (SELECT RegionID FROM Region WHERE Name = 'NA'),0,0,1);</v>
      </c>
    </row>
    <row r="5" spans="3:64" x14ac:dyDescent="0.25">
      <c r="C5" t="str">
        <f>assignmentSQL('Master Table'!C5,'Master Table'!C$1,'Master Table'!$A5,'Master Table'!$B5)</f>
        <v>INSERT INTO Contact_ProductLine_Map (ContactId, ProductLineId, RegionId, IsSales, IsPM, IsUserAdvocate) VALUES ((SELECT ContactId FROM Contact WHERE Name = 'Pradip Maity'), (SELECT ProductLineId FROM ProductLine WHERE Name = 'STAAD'), (SELECT RegionID FROM Region WHERE Name = 'SEAsia'),1,0,0);</v>
      </c>
      <c r="D5" t="str">
        <f>assignmentSQL('Master Table'!D5,'Master Table'!D$1,'Master Table'!$A5,'Master Table'!$B5)</f>
        <v>INSERT INTO Contact_ProductLine_Map (ContactId, ProductLineId, RegionId, IsSales, IsPM, IsUserAdvocate) VALUES ((SELECT ContactId FROM Contact WHERE Name = 'Pradip Maity'), (SELECT ProductLineId FROM ProductLine WHERE Name = 'RAM'), (SELECT RegionID FROM Region WHERE Name = 'SEAsia'),1,0,0);</v>
      </c>
      <c r="E5" t="str">
        <f>assignmentSQL('Master Table'!E5,'Master Table'!E$1,'Master Table'!$A5,'Master Table'!$B5)</f>
        <v>INSERT INTO Contact_ProductLine_Map (ContactId, ProductLineId, RegionId, IsSales, IsPM, IsUserAdvocate) VALUES ((SELECT ContactId FROM Contact WHERE Name = 'Pradip Maity'), (SELECT ProductLineId FROM ProductLine WHERE Name = 'AUTOPIPE'), (SELECT RegionID FROM Region WHERE Name = 'SEAsia'),1,0,0);</v>
      </c>
      <c r="F5" t="str">
        <f>assignmentSQL('Master Table'!F5,'Master Table'!F$1,'Master Table'!$A5,'Master Table'!$B5)</f>
        <v>INSERT INTO Contact_ProductLine_Map (ContactId, ProductLineId, RegionId, IsSales, IsPM, IsUserAdvocate) VALUES ((SELECT ContactId FROM Contact WHERE Name = 'Pradip Maity'), (SELECT ProductLineId FROM ProductLine WHERE Name = 'SACS'), (SELECT RegionID FROM Region WHERE Name = 'SEAsia'),1,0,0);</v>
      </c>
      <c r="G5" t="str">
        <f>assignmentSQL('Master Table'!G5,'Master Table'!G$1,'Master Table'!$A5,'Master Table'!$B5)</f>
        <v>INSERT INTO Contact_ProductLine_Map (ContactId, ProductLineId, RegionId, IsSales, IsPM, IsUserAdvocate) VALUES ((SELECT ContactId FROM Contact WHERE Name = 'Pradip Maity'), (SELECT ProductLineId FROM ProductLine WHERE Name = 'MAXSURF'), (SELECT RegionID FROM Region WHERE Name = 'SEAsia'),1,0,0);</v>
      </c>
      <c r="H5" t="str">
        <f>assignmentSQL('Master Table'!H5,'Master Table'!H$1,'Master Table'!$A5,'Master Table'!$B5)</f>
        <v>INSERT INTO Contact_ProductLine_Map (ContactId, ProductLineId, RegionId, IsSales, IsPM, IsUserAdvocate) VALUES ((SELECT ContactId FROM Contact WHERE Name = 'Pradip Maity'), (SELECT ProductLineId FROM ProductLine WHERE Name = 'MOSES'), (SELECT RegionID FROM Region WHERE Name = 'SEAsia'),1,0,0);</v>
      </c>
      <c r="I5" t="str">
        <f>assignmentSQL('Master Table'!I5,'Master Table'!I$1,'Master Table'!$A5,'Master Table'!$B5)</f>
        <v/>
      </c>
      <c r="J5" t="str">
        <f>assignmentSQL('Master Table'!J5,'Master Table'!J$1,'Master Table'!$A5,'Master Table'!$B5)</f>
        <v/>
      </c>
      <c r="K5" t="str">
        <f>assignmentSQL('Master Table'!K5,'Master Table'!K$1,'Master Table'!$A5,'Master Table'!$B5)</f>
        <v/>
      </c>
      <c r="L5" t="str">
        <f>assignmentSQL('Master Table'!L5,'Master Table'!L$1,'Master Table'!$A5,'Master Table'!$B5)</f>
        <v/>
      </c>
      <c r="M5" t="str">
        <f>assignmentSQL('Master Table'!M5,'Master Table'!M$1,'Master Table'!$A5,'Master Table'!$B5)</f>
        <v/>
      </c>
      <c r="N5" t="str">
        <f>assignmentSQL('Master Table'!N5,'Master Table'!N$1,'Master Table'!$A5,'Master Table'!$B5)</f>
        <v>INSERT INTO Contact_ProductLine_Map (ContactId, ProductLineId, RegionId, IsSales, IsPM, IsUserAdvocate) VALUES ((SELECT ContactId FROM Contact WHERE Name = 'Ismail Salim'), (SELECT ProductLineId FROM ProductLine WHERE Name = 'AECOsim Building Designer'), (SELECT RegionID FROM Region WHERE Name = 'SEAsia'),1,0,0);</v>
      </c>
      <c r="O5" t="str">
        <f>assignmentSQL('Master Table'!O5,'Master Table'!O$1,'Master Table'!$A5,'Master Table'!$B5)</f>
        <v>INSERT INTO Contact_ProductLine_Map (ContactId, ProductLineId, RegionId, IsSales, IsPM, IsUserAdvocate) VALUES ((SELECT ContactId FROM Contact WHERE Name = 'Ismail Salim'), (SELECT ProductLineId FROM ProductLine WHERE Name = 'speedikon'), (SELECT RegionID FROM Region WHERE Name = 'SEAsia'),1,0,0);</v>
      </c>
      <c r="P5" t="str">
        <f>assignmentSQL('Master Table'!P5,'Master Table'!P$1,'Master Table'!$A5,'Master Table'!$B5)</f>
        <v>INSERT INTO Contact_ProductLine_Map (ContactId, ProductLineId, RegionId, IsSales, IsPM, IsUserAdvocate) VALUES ((SELECT ContactId FROM Contact WHERE Name = 'Ismail Salim'), (SELECT ProductLineId FROM ProductLine WHERE Name = 'Hevacomp'), (SELECT RegionID FROM Region WHERE Name = 'SEAsia'),1,0,0);</v>
      </c>
      <c r="Q5" t="str">
        <f>assignmentSQL('Master Table'!Q5,'Master Table'!Q$1,'Master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'GEOPAK'), (SELECT RegionID FROM Region WHERE Name = 'SEAsia'),1,0,0);</v>
      </c>
      <c r="R5" t="str">
        <f>assignmentSQL('Master Table'!R5,'Master Table'!R$1,'Master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'InRoads'), (SELECT RegionID FROM Region WHERE Name = 'SEAsia'),1,0,0);</v>
      </c>
      <c r="S5" t="str">
        <f>assignmentSQL('Master Table'!S5,'Master Table'!S$1,'Master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'MX'), (SELECT RegionID FROM Region WHERE Name = 'SEAsia'),1,0,0);</v>
      </c>
      <c r="T5" t="str">
        <f>assignmentSQL('Master Table'!T5,'Master Table'!T$1,'Master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'OpenRail'), (SELECT RegionID FROM Region WHERE Name = 'SEAsia'),1,0,0);</v>
      </c>
      <c r="U5" t="str">
        <f>assignmentSQL('Master Table'!U5,'Master Table'!U$1,'Master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'OpenRoads'), (SELECT RegionID FROM Region WHERE Name = 'SEAsia'),1,0,0);</v>
      </c>
      <c r="V5" t="str">
        <f>assignmentSQL('Master Table'!V5,'Master Table'!V$1,'Master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'ConceptStation'), (SELECT RegionID FROM Region WHERE Name = 'SEAsia'),1,0,0);</v>
      </c>
      <c r="W5" t="str">
        <f>assignmentSQL('Master Table'!W5,'Master Table'!W$1,'Master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'gINT'), (SELECT RegionID FROM Region WHERE Name = 'SEAsia'),1,0,0);</v>
      </c>
      <c r="X5" t="str">
        <f>assignmentSQL('Master Table'!X5,'Master Table'!X$1,'Master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'AutoPLANT'), (SELECT RegionID FROM Region WHERE Name = 'SEAsia'),1,0,0);</v>
      </c>
      <c r="Y5" t="str">
        <f>assignmentSQL('Master Table'!Y5,'Master Table'!Y$1,'Master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'AXSYS'), (SELECT RegionID FROM Region WHERE Name = 'SEAsia'),1,0,0);</v>
      </c>
      <c r="Z5" t="str">
        <f>assignmentSQL('Master Table'!Z5,'Master Table'!Z$1,'Master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'OpenPlant'), (SELECT RegionID FROM Region WHERE Name = 'SEAsia'),1,0,0);</v>
      </c>
      <c r="AA5" t="str">
        <f>assignmentSQL('Master Table'!AA5,'Master Table'!AA$1,'Master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'PlantSpace'), (SELECT RegionID FROM Region WHERE Name = 'SEAsia'),1,0,0);</v>
      </c>
      <c r="AB5" t="str">
        <f>assignmentSQL('Master Table'!AB5,'Master Table'!AB$1,'Master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'MineCycle'), (SELECT RegionID FROM Region WHERE Name = 'SEAsia'),1,0,0);</v>
      </c>
      <c r="AC5" t="str">
        <f>assignmentSQL('Master Table'!AC5,'Master Table'!AC$1,'Master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'Plantwise'), (SELECT RegionID FROM Region WHERE Name = 'SEAsia'),1,0,0);</v>
      </c>
      <c r="AD5" t="str">
        <f>assignmentSQL('Master Table'!AD5,'Master Table'!AD$1,'Master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'Pointools'), (SELECT RegionID FROM Region WHERE Name = 'SEAsia'),1,0,0);</v>
      </c>
      <c r="AE5" t="str">
        <f>assignmentSQL('Master Table'!AE5,'Master Table'!AE$1,'Master Table'!$A5,'Master Table'!$B5)</f>
        <v>INSERT INTO Contact_ProductLine_Map (ContactId, ProductLineId, RegionId, IsSales, IsPM, IsUserAdvocate) VALUES ((SELECT ContactId FROM Contact WHERE Name = 'Stella Choo'), (SELECT ProductLineId FROM ProductLine WHERE Name = 'LumenRT'), (SELECT RegionID FROM Region WHERE Name = 'SEAsia'),1,0,0);</v>
      </c>
      <c r="AF5" t="str">
        <f>assignmentSQL('Master Table'!AF5,'Master Table'!AF$1,'Master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'ContextCapture'), (SELECT RegionID FROM Region WHERE Name = 'SEAsia'),1,0,0);</v>
      </c>
      <c r="AG5" t="str">
        <f>assignmentSQL('Master Table'!AG5,'Master Table'!AG$1,'Master Table'!$A5,'Master Table'!$B5)</f>
        <v>INSERT INTO Contact_ProductLine_Map (ContactId, ProductLineId, RegionId, IsSales, IsPM, IsUserAdvocate) VALUES ((SELECT ContactId FROM Contact WHERE Name = 'Junaidi Nor'), (SELECT ProductLineId FROM ProductLine WHERE Name = 'Descartes'), (SELECT RegionID FROM Region WHERE Name = 'SEAsia'),1,0,0);</v>
      </c>
      <c r="AH5" t="str">
        <f>assignmentSQL('Master Table'!AH5,'Master Table'!AH$1,'Master Table'!$A5,'Master Table'!$B5)</f>
        <v>INSERT INTO Contact_ProductLine_Map (ContactId, ProductLineId, RegionId, IsSales, IsPM, IsUserAdvocate) VALUES ((SELECT ContactId FROM Contact WHERE Name = 'Ismail Salim'), (SELECT ProductLineId FROM ProductLine WHERE Name = 'ProStructures'), (SELECT RegionID FROM Region WHERE Name = 'SEAsia'),1,0,0);</v>
      </c>
      <c r="AI5" t="str">
        <f>assignmentSQL('Master Table'!AI5,'Master Table'!AI$1,'Master Table'!$A5,'Master Table'!$B5)</f>
        <v>INSERT INTO Contact_ProductLine_Map (ContactId, ProductLineId, RegionId, IsSales, IsPM, IsUserAdvocate) VALUES ((SELECT ContactId FROM Contact WHERE Name = 'Cheryl Kon'), (SELECT ProductLineId FROM ProductLine WHERE Name = 'promis*e'), (SELECT RegionID FROM Region WHERE Name = 'SEAsia'),1,0,0);</v>
      </c>
      <c r="AJ5" t="str">
        <f>assignmentSQL('Master Table'!AJ5,'Master Table'!AJ$1,'Master Table'!$A5,'Master Table'!$B5)</f>
        <v>INSERT INTO Contact_ProductLine_Map (ContactId, ProductLineId, RegionId, IsSales, IsPM, IsUserAdvocate) VALUES ((SELECT ContactId FROM Contact WHERE Name = 'Freek Verhoef'), (SELECT ProductLineId FROM ProductLine WHERE Name = 'AssetWise'), (SELECT RegionID FROM Region WHERE Name = 'SEAsia'),1,0,0);</v>
      </c>
      <c r="AK5" t="str">
        <f>assignmentSQL('Master Table'!AK5,'Master Table'!AK$1,'Master Table'!$A5,'Master Table'!$B5)</f>
        <v>INSERT INTO Contact_ProductLine_Map (ContactId, ProductLineId, RegionId, IsSales, IsPM, IsUserAdvocate) VALUES ((SELECT ContactId FROM Contact WHERE Name = 'Uma Umakhanthan'), (SELECT ProductLineId FROM ProductLine WHERE Name = 'AssetWise APM'), (SELECT RegionID FROM Region WHERE Name = 'SEAsia'),1,0,0);</v>
      </c>
      <c r="AL5" t="str">
        <f>assignmentSQL('Master Table'!AL5,'Master Table'!AL$1,'Master Table'!$A5,'Master Table'!$B5)</f>
        <v>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'SEAsia'),1,0,0);INSERT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'SEAsia'),1,0,0);INSERT INTO Contact_ProductLine_Map (ContactId, ProductLineId, RegionId, IsSales, IsPM, IsUserAdvocate) VALUES ((SELECT ContactId FROM Contact WHERE Name = 'Jim Lucas'), (SELECT ProductLineId FROM ProductLine WHERE Name = 'OpenUtilities'), (SELECT RegionID FROM Region WHERE Name = 'SEAsia'),1,0,0);</v>
      </c>
      <c r="AM5" t="str">
        <f>assignmentSQL('Master Table'!AM5,'Master Table'!AM$1,'Master Table'!$A5,'Master Table'!$B5)</f>
        <v>INSERT INTO Contact_ProductLine_Map (ContactId, ProductLineId, RegionId, IsSales, IsPM, IsUserAdvocate) VALUES ((SELECT ContactId FROM Contact WHERE Name = 'Vincent Ng'), (SELECT ProductLineId FROM ProductLine WHERE Name = 'Map'), (SELECT RegionID FROM Region WHERE Name = 'SEAsia'),1,0,0);</v>
      </c>
      <c r="AN5" t="str">
        <f>assignmentSQL('Master Table'!AN5,'Master Table'!AN$1,'Master Table'!$A5,'Master Table'!$B5)</f>
        <v>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'SEAsia'),1,0,0);INSERT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'SEAsia'),1,0,0);INSERT INTO Contact_ProductLine_Map (ContactId, ProductLineId, RegionId, IsSales, IsPM, IsUserAdvocate) VALUES ((SELECT ContactId FROM Contact WHERE Name = 'Jim Lucas'), (SELECT ProductLineId FROM ProductLine WHERE Name = 'OpenComms'), (SELECT RegionID FROM Region WHERE Name = 'SEAsia'),1,0,0);</v>
      </c>
      <c r="AO5" t="str">
        <f>assignmentSQL('Master Table'!AO5,'Master Table'!AO$1,'Master Table'!$A5,'Master Table'!$B5)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'SEAsia'),1,0,0);INSERT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'SEAsia'),1,0,0);</v>
      </c>
      <c r="AP5" t="str">
        <f>assignmentSQL('Master Table'!AP5,'Master Table'!AP$1,'Master Table'!$A5,'Master Table'!$B5)</f>
        <v>INSERT INTO Contact_ProductLine_Map (ContactId, ProductLineId, RegionId, IsSales, IsPM, IsUserAdvocate) VALUES ((SELECT ContactId FROM Contact WHERE Name = 'Vincent Ng'), (SELECT ProductLineId FROM ProductLine WHERE Name = 'Haestad'), (SELECT RegionID FROM Region WHERE Name = 'SEAsia'),1,0,0);</v>
      </c>
      <c r="AQ5" t="str">
        <f>assignmentSQL('Master Table'!AQ5,'Master Table'!AQ$1,'Master Table'!$A5,'Master Table'!$B5)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'SEAsia'),1,0,0);INSERT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'SEAsia'),1,0,0);</v>
      </c>
      <c r="AR5" t="str">
        <f>assignmentSQL('Master Table'!AR5,'Master Table'!AR$1,'Master Table'!$A5,'Master Table'!$B5)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'SEAsia'),1,0,0);</v>
      </c>
      <c r="AS5" t="str">
        <f>assignmentSQL('Master Table'!AS5,'Master Table'!AS$1,'Master Table'!$A5,'Master Table'!$B5)</f>
        <v>INSERT INTO Contact_ProductLine_Map (ContactId, ProductLineId, RegionId, IsSales, IsPM, IsUserAdvocate) VALUES ((SELECT ContactId FROM Contact WHERE Name = 'Uma Umakhanthan'), (SELECT ProductLineId FROM ProductLine WHERE Name = 'Amulet'), (SELECT RegionID FROM Region WHERE Name = 'SEAsia'),1,0,0);</v>
      </c>
      <c r="AT5" t="str">
        <f>assignmentSQL('Master Table'!AT5,'Master Table'!AT$1,'Master Table'!$A5,'Master Table'!$B5)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'SEAsia'),1,0,0);</v>
      </c>
      <c r="AU5" t="str">
        <f>assignmentSQL('Master Table'!AU5,'Master Table'!AU$1,'Master Table'!$A5,'Master Table'!$B5)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'SEAsia'),1,0,0);</v>
      </c>
      <c r="AV5" t="str">
        <f>assignmentSQL('Master Table'!AV5,'Master Table'!AV$1,'Master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Design Integration'), (SELECT RegionID FROM Region WHERE Name = 'SEAsia'),1,0,0);</v>
      </c>
      <c r="AW5" t="str">
        <f>assignmentSQL('Master Table'!AW5,'Master Table'!AW$1,'Master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Issues Resolution'), (SELECT RegionID FROM Region WHERE Name = 'SEAsia'),1,0,0);</v>
      </c>
      <c r="AX5" t="str">
        <f>assignmentSQL('Master Table'!AX5,'Master Table'!AX$1,'Master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Explorer Civil 3D Integration Module'), (SELECT RegionID FROM Region WHERE Name = 'SEAsia'),1,0,0);</v>
      </c>
      <c r="AY5" t="str">
        <f>assignmentSQL('Master Table'!AY5,'Master Table'!AY$1,'Master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Explorer Revit Integration Module'), (SELECT RegionID FROM Region WHERE Name = 'SEAsia'),1,0,0);</v>
      </c>
      <c r="AZ5" t="str">
        <f>assignmentSQL('Master Table'!AZ5,'Master Table'!AZ$1,'Master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Explorer Office Integration Module'), (SELECT RegionID FROM Region WHERE Name = 'SEAsia'),1,0,0);</v>
      </c>
      <c r="BA5" t="str">
        <f>assignmentSQL('Master Table'!BA5,'Master Table'!BA$1,'Master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Edge Mobile'), (SELECT RegionID FROM Region WHERE Name = 'SEAsia'),1,0,0);</v>
      </c>
      <c r="BB5" t="str">
        <f>assignmentSQL('Master Table'!BB5,'Master Table'!BB$1,'Master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WorkSite'), (SELECT RegionID FROM Region WHERE Name = 'SEAsia'),1,0,0);</v>
      </c>
      <c r="BC5" t="str">
        <f>assignmentSQL('Master Table'!BC5,'Master Table'!BC$1,'Master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Edge'), (SELECT RegionID FROM Region WHERE Name = 'SEAsia'),1,0,0);</v>
      </c>
      <c r="BD5" t="str">
        <f>assignmentSQL('Master Table'!BD5,'Master Table'!BD$1,'Master Table'!$A5,'Master Table'!$B5)</f>
        <v>INSERT INTO Contact_ProductLine_Map (ContactId, ProductLineId, RegionId, IsSales, IsPM, IsUserAdvocate) VALUES ((SELECT ContactId FROM Contact WHERE Name = 'Pradip Maity'), (SELECT ProductLineId FROM ProductLine WHERE Name = 'Navigator CE'), (SELECT RegionID FROM Region WHERE Name = 'SEAsia'),1,0,0);</v>
      </c>
      <c r="BE5" t="str">
        <f>assignmentSQL('Master Table'!BE5,'Master Table'!BE$1,'Master Table'!$A5,'Master Table'!$B5)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'SEAsia'),1,0,0);</v>
      </c>
      <c r="BF5" t="str">
        <f>assignmentSQL('Master Table'!BF5,'Master Table'!BF$1,'Master Table'!$A5,'Master Table'!$B5)</f>
        <v>INSERT INTO Contact_ProductLine_Map (ContactId, ProductLineId, RegionId, IsSales, IsPM, IsUserAdvocate) VALUES ((SELECT ContactId FROM Contact WHERE Name = 'Mark Cranitch'), (SELECT ProductLineId FROM ProductLine WHERE Name = 'EADOC UI Upgrade'), (SELECT RegionID FROM Region WHERE Name = 'SEAsia'),1,0,0);</v>
      </c>
      <c r="BG5" t="str">
        <f>assignmentSQL('Master Table'!BG5,'Master Table'!BG$1,'Master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'Deliverables Management'), (SELECT RegionID FROM Region WHERE Name = 'SEAsia'),1,0,0);</v>
      </c>
      <c r="BH5" t="str">
        <f>assignmentSQL('Master Table'!BH5,'Master Table'!BH$1,'Master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'Bentley Automation Service CONNECT Edition'), (SELECT RegionID FROM Region WHERE Name = 'SEAsia'),1,0,0);</v>
      </c>
      <c r="BI5" t="str">
        <f>assignmentSQL('Master Table'!BI5,'Master Table'!BI$1,'Master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"Field Data Management'), (SELECT RegionID FROM Region WHERE Name = 'SEAsia'),1,0,0);</v>
      </c>
      <c r="BJ5" t="str">
        <f>assignmentSQL('Master Table'!BJ5,'Master Table'!BJ$1,'Master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PDF'), (SELECT RegionID FROM Region WHERE Name = 'SEAsia'),1,0,0);</v>
      </c>
      <c r="BK5" t="str">
        <f>assignmentSQL('Master Table'!BK5,'Master Table'!BK$1,'Master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InterPlot Server and Interplot Organizer'), (SELECT RegionID FROM Region WHERE Name = 'SEAsia'),1,0,0);</v>
      </c>
      <c r="BL5" t="str">
        <f>assignmentSQL('Master Table'!BL5,'Master Table'!BL$1,'Master Table'!$A5,'Master Table'!$B5)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i-models'), (SELECT RegionID FROM Region WHERE Name = 'SEAsia'),1,0,0);</v>
      </c>
    </row>
    <row r="6" spans="3:64" x14ac:dyDescent="0.25">
      <c r="C6" t="str">
        <f>assignmentSQL('Master Table'!C6,'Master Table'!C$1,'Master Table'!$A6,'Master Table'!$B6)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'SEAsia'),0,1,0);</v>
      </c>
      <c r="D6" t="str">
        <f>assignmentSQL('Master Table'!D6,'Master Table'!D$1,'Master Table'!$A6,'Master Table'!$B6)</f>
        <v>INSERT INTO Contact_ProductLine_Map (ContactId, ProductLineId, RegionId, IsSales, IsPM, IsUserAdvocate) VALUES ((SELECT ContactId FROM Contact WHERE Name = 'Josh Taylor'), (SELECT ProductLineId FROM ProductLine WHERE Name = 'RAM'), (SELECT RegionID FROM Region WHERE Name = 'SEAsia'),0,1,0);</v>
      </c>
      <c r="E6" t="str">
        <f>assignmentSQL('Master Table'!E6,'Master Table'!E$1,'Master Table'!$A6,'Master Table'!$B6)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'SEAsia'),0,1,0);INSERT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'SEAsia'),0,1,0);</v>
      </c>
      <c r="F6" t="str">
        <f>assignmentSQL('Master Table'!F6,'Master Table'!F$1,'Master Table'!$A6,'Master Table'!$B6)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'SEAsia'),0,1,0);</v>
      </c>
      <c r="G6" t="str">
        <f>assignmentSQL('Master Table'!G6,'Master Table'!G$1,'Master Table'!$A6,'Master Table'!$B6)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'SEAsia'),0,1,0);</v>
      </c>
      <c r="H6" t="str">
        <f>assignmentSQL('Master Table'!H6,'Master Table'!H$1,'Master Table'!$A6,'Master Table'!$B6)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'SEAsia'),0,1,0);</v>
      </c>
      <c r="I6" t="str">
        <f>assignmentSQL('Master Table'!I6,'Master Table'!I$1,'Master Table'!$A6,'Master Table'!$B6)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'SEAsia'),0,1,0);</v>
      </c>
      <c r="J6" t="str">
        <f>assignmentSQL('Master Table'!J6,'Master Table'!J$1,'Master Table'!$A6,'Master Table'!$B6)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'SEAsia'),0,1,0);</v>
      </c>
      <c r="K6" t="str">
        <f>assignmentSQL('Master Table'!K6,'Master Table'!K$1,'Master Table'!$A6,'Master Table'!$B6)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'SEAsia'),0,1,0);</v>
      </c>
      <c r="L6" t="str">
        <f>assignmentSQL('Master Table'!L6,'Master Table'!L$1,'Master Table'!$A6,'Master Table'!$B6)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'SEAsia'),0,1,0);</v>
      </c>
      <c r="M6" t="str">
        <f>assignmentSQL('Master Table'!M6,'Master Table'!M$1,'Master Table'!$A6,'Master Table'!$B6)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'SEAsia'),0,1,0);</v>
      </c>
      <c r="N6" t="str">
        <f>assignmentSQL('Master Table'!N6,'Master Table'!N$1,'Master Table'!$A6,'Master Table'!$B6)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'SEAsia'),0,1,0);</v>
      </c>
      <c r="O6" t="str">
        <f>assignmentSQL('Master Table'!O6,'Master Table'!O$1,'Master Table'!$A6,'Master Table'!$B6)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'SEAsia'),0,1,0);</v>
      </c>
      <c r="P6" t="str">
        <f>assignmentSQL('Master Table'!P6,'Master Table'!P$1,'Master Table'!$A6,'Master Table'!$B6)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'SEAsia'),0,1,0);</v>
      </c>
      <c r="Q6" t="str">
        <f>assignmentSQL('Master Table'!Q6,'Master Table'!Q$1,'Master Table'!$A6,'Master Table'!$B6)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'SEAsia'),0,1,0);</v>
      </c>
      <c r="R6" t="str">
        <f>assignmentSQL('Master Table'!R6,'Master Table'!R$1,'Master Table'!$A6,'Master Table'!$B6)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'SEAsia'),0,1,0);</v>
      </c>
      <c r="S6" t="str">
        <f>assignmentSQL('Master Table'!S6,'Master Table'!S$1,'Master Table'!$A6,'Master Table'!$B6)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'SEAsia'),0,1,0);</v>
      </c>
      <c r="T6" t="str">
        <f>assignmentSQL('Master Table'!T6,'Master Table'!T$1,'Master Table'!$A6,'Master Table'!$B6)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'SEAsia'),0,1,0);</v>
      </c>
      <c r="U6" t="str">
        <f>assignmentSQL('Master Table'!U6,'Master Table'!U$1,'Master Table'!$A6,'Master Table'!$B6)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'SEAsia'),0,1,0);</v>
      </c>
      <c r="V6" t="str">
        <f>assignmentSQL('Master Table'!V6,'Master Table'!V$1,'Master Table'!$A6,'Master Table'!$B6)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'SEAsia'),0,1,0);</v>
      </c>
      <c r="W6" t="str">
        <f>assignmentSQL('Master Table'!W6,'Master Table'!W$1,'Master Table'!$A6,'Master Table'!$B6)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'SEAsia'),0,1,0);</v>
      </c>
      <c r="X6" t="str">
        <f>assignmentSQL('Master Table'!X6,'Master Table'!X$1,'Master Table'!$A6,'Master Table'!$B6)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'SEAsia'),0,1,0);</v>
      </c>
      <c r="Y6" t="str">
        <f>assignmentSQL('Master Table'!Y6,'Master Table'!Y$1,'Master Table'!$A6,'Master Table'!$B6)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'SEAsia'),0,1,0);</v>
      </c>
      <c r="Z6" t="str">
        <f>assignmentSQL('Master Table'!Z6,'Master Table'!Z$1,'Master Table'!$A6,'Master Table'!$B6)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'SEAsia'),0,1,0);</v>
      </c>
      <c r="AA6" t="str">
        <f>assignmentSQL('Master Table'!AA6,'Master Table'!AA$1,'Master Table'!$A6,'Master Table'!$B6)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'SEAsia'),0,1,0);</v>
      </c>
      <c r="AB6" t="str">
        <f>assignmentSQL('Master Table'!AB6,'Master Table'!AB$1,'Master Table'!$A6,'Master Table'!$B6)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'SEAsia'),0,1,0);</v>
      </c>
      <c r="AC6" t="str">
        <f>assignmentSQL('Master Table'!AC6,'Master Table'!AC$1,'Master Table'!$A6,'Master Table'!$B6)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'SEAsia'),0,1,0);</v>
      </c>
      <c r="AD6" t="str">
        <f>assignmentSQL('Master Table'!AD6,'Master Table'!AD$1,'Master Table'!$A6,'Master Table'!$B6)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'SEAsia'),0,1,0);</v>
      </c>
      <c r="AE6" t="str">
        <f>assignmentSQL('Master Table'!AE6,'Master Table'!AE$1,'Master Table'!$A6,'Master Table'!$B6)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'SEAsia'),0,1,0);</v>
      </c>
      <c r="AF6" t="str">
        <f>assignmentSQL('Master Table'!AF6,'Master Table'!AF$1,'Master Table'!$A6,'Master Table'!$B6)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'SEAsia'),0,1,0);</v>
      </c>
      <c r="AG6" t="str">
        <f>assignmentSQL('Master Table'!AG6,'Master Table'!AG$1,'Master Table'!$A6,'Master Table'!$B6)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'SEAsia'),0,1,0);</v>
      </c>
      <c r="AH6" t="str">
        <f>assignmentSQL('Master Table'!AH6,'Master Table'!AH$1,'Master Table'!$A6,'Master Table'!$B6)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'SEAsia'),0,1,0);</v>
      </c>
      <c r="AI6" t="str">
        <f>assignmentSQL('Master Table'!AI6,'Master Table'!AI$1,'Master Table'!$A6,'Master Table'!$B6)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'SEAsia'),0,1,0);</v>
      </c>
      <c r="AJ6" t="str">
        <f>assignmentSQL('Master Table'!AJ6,'Master Table'!AJ$1,'Master Table'!$A6,'Master Table'!$B6)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'SEAsia'),0,1,0);</v>
      </c>
      <c r="AK6" t="str">
        <f>assignmentSQL('Master Table'!AK6,'Master Table'!AK$1,'Master Table'!$A6,'Master Table'!$B6)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'SEAsia'),0,1,0);</v>
      </c>
      <c r="AL6" t="str">
        <f>assignmentSQL('Master Table'!AL6,'Master Table'!AL$1,'Master Table'!$A6,'Master Table'!$B6)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'SEAsia'),0,1,0);</v>
      </c>
      <c r="AM6" t="str">
        <f>assignmentSQL('Master Table'!AM6,'Master Table'!AM$1,'Master Table'!$A6,'Master Table'!$B6)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'SEAsia'),0,1,0);</v>
      </c>
      <c r="AN6" t="str">
        <f>assignmentSQL('Master Table'!AN6,'Master Table'!AN$1,'Master Table'!$A6,'Master Table'!$B6)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'SEAsia'),0,1,0);</v>
      </c>
      <c r="AO6" t="str">
        <f>assignmentSQL('Master Table'!AO6,'Master Table'!AO$1,'Master Table'!$A6,'Master Table'!$B6)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'SEAsia'),0,1,0);</v>
      </c>
      <c r="AP6" t="str">
        <f>assignmentSQL('Master Table'!AP6,'Master Table'!AP$1,'Master Table'!$A6,'Master Table'!$B6)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'SEAsia'),0,1,0);</v>
      </c>
      <c r="AQ6" t="str">
        <f>assignmentSQL('Master Table'!AQ6,'Master Table'!AQ$1,'Master Table'!$A6,'Master Table'!$B6)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'SEAsia'),0,1,0);</v>
      </c>
      <c r="AR6" t="str">
        <f>assignmentSQL('Master Table'!AR6,'Master Table'!AR$1,'Master Table'!$A6,'Master Table'!$B6)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'SEAsia'),0,1,0);</v>
      </c>
      <c r="AS6" t="str">
        <f>assignmentSQL('Master Table'!AS6,'Master Table'!AS$1,'Master Table'!$A6,'Master Table'!$B6)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'SEAsia'),0,1,0);</v>
      </c>
      <c r="AT6" t="str">
        <f>assignmentSQL('Master Table'!AT6,'Master Table'!AT$1,'Master Table'!$A6,'Master Table'!$B6)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'SEAsia'),0,1,0);</v>
      </c>
      <c r="AU6" t="str">
        <f>assignmentSQL('Master Table'!AU6,'Master Table'!AU$1,'Master Table'!$A6,'Master Table'!$B6)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'SEAsia'),0,1,0);</v>
      </c>
      <c r="AV6" t="str">
        <f>assignmentSQL('Master Table'!AV6,'Master Table'!AV$1,'Master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'SEAsia'),0,1,0);</v>
      </c>
      <c r="AW6" t="str">
        <f>assignmentSQL('Master Table'!AW6,'Master Table'!AW$1,'Master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'SEAsia'),0,1,0);</v>
      </c>
      <c r="AX6" t="str">
        <f>assignmentSQL('Master Table'!AX6,'Master Table'!AX$1,'Master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'SEAsia'),0,1,0);</v>
      </c>
      <c r="AY6" t="str">
        <f>assignmentSQL('Master Table'!AY6,'Master Table'!AY$1,'Master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'SEAsia'),0,1,0);</v>
      </c>
      <c r="AZ6" t="str">
        <f>assignmentSQL('Master Table'!AZ6,'Master Table'!AZ$1,'Master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'SEAsia'),0,1,0);</v>
      </c>
      <c r="BA6" t="str">
        <f>assignmentSQL('Master Table'!BA6,'Master Table'!BA$1,'Master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'SEAsia'),0,1,0);INSERT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'SEAsia'),0,1,0);</v>
      </c>
      <c r="BB6" t="str">
        <f>assignmentSQL('Master Table'!BB6,'Master Table'!BB$1,'Master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'SEAsia'),0,1,0);INSERT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'SEAsia'),0,1,0);</v>
      </c>
      <c r="BC6" t="str">
        <f>assignmentSQL('Master Table'!BC6,'Master Table'!BC$1,'Master Table'!$A6,'Master Table'!$B6)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'SEAsia'),0,1,0);INSERT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'SEAsia'),0,1,0);</v>
      </c>
      <c r="BD6" t="str">
        <f>assignmentSQL('Master Table'!BD6,'Master Table'!BD$1,'Master Table'!$A6,'Master Table'!$B6)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'SEAsia'),0,1,0);</v>
      </c>
      <c r="BE6" t="str">
        <f>assignmentSQL('Master Table'!BE6,'Master Table'!BE$1,'Master Table'!$A6,'Master Table'!$B6)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'SEAsia'),0,1,0);</v>
      </c>
      <c r="BF6" t="str">
        <f>assignmentSQL('Master Table'!BF6,'Master Table'!BF$1,'Master Table'!$A6,'Master Table'!$B6)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'SEAsia'),0,1,0);</v>
      </c>
      <c r="BG6" t="str">
        <f>assignmentSQL('Master Table'!BG6,'Master Table'!BG$1,'Master Table'!$A6,'Master Table'!$B6)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'SEAsia'),0,1,0);</v>
      </c>
      <c r="BH6" t="str">
        <f>assignmentSQL('Master Table'!BH6,'Master Table'!BH$1,'Master Table'!$A6,'Master Table'!$B6)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'SEAsia'),0,1,0);</v>
      </c>
      <c r="BI6" t="str">
        <f>assignmentSQL('Master Table'!BI6,'Master Table'!BI$1,'Master Table'!$A6,'Master Table'!$B6)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'SEAsia'),0,1,0);</v>
      </c>
      <c r="BJ6" t="str">
        <f>assignmentSQL('Master Table'!BJ6,'Master Table'!BJ$1,'Master Table'!$A6,'Master Table'!$B6)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'SEAsia'),0,1,0);</v>
      </c>
      <c r="BK6" t="str">
        <f>assignmentSQL('Master Table'!BK6,'Master Table'!BK$1,'Master Table'!$A6,'Master Table'!$B6)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'SEAsia'),0,1,0);</v>
      </c>
      <c r="BL6" t="str">
        <f>assignmentSQL('Master Table'!BL6,'Master Table'!BL$1,'Master Table'!$A6,'Master Table'!$B6)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'SEAsia'),0,1,0);</v>
      </c>
    </row>
    <row r="7" spans="3:64" x14ac:dyDescent="0.25">
      <c r="C7" t="str">
        <f>assignmentSQL('Master Table'!C7,'Master Table'!C$1,'Master Table'!$A7,'Master Table'!$B7)</f>
        <v>INSERT INTO Contact_ProductLine_Map (ContactId, ProductLineId, RegionId, IsSales, IsPM, IsUserAdvocate) VALUES ((SELECT ContactId FROM Contact WHERE Name = 'Madhan Elumalai'), (SELECT ProductLineId FROM ProductLine WHERE Name = 'STAAD'), (SELECT RegionID FROM Region WHERE Name = 'SEAsia'),0,0,1);</v>
      </c>
      <c r="D7" t="str">
        <f>assignmentSQL('Master Table'!D7,'Master Table'!D$1,'Master Table'!$A7,'Master Table'!$B7)</f>
        <v>INSERT INTO Contact_ProductLine_Map (ContactId, ProductLineId, RegionId, IsSales, IsPM, IsUserAdvocate) VALUES ((SELECT ContactId FROM Contact WHERE Name = 'Madhan Elumalai'), (SELECT ProductLineId FROM ProductLine WHERE Name = 'RAM'), (SELECT RegionID FROM Region WHERE Name = 'SEAsia'),0,0,1);</v>
      </c>
      <c r="E7" t="str">
        <f>assignmentSQL('Master Table'!E7,'Master Table'!E$1,'Master Table'!$A7,'Master Table'!$B7)</f>
        <v>INSERT INTO Contact_ProductLine_Map (ContactId, ProductLineId, RegionId, IsSales, IsPM, IsUserAdvocate) VALUES ((SELECT ContactId FROM Contact WHERE Name = 'Madhan Elumalai'), (SELECT ProductLineId FROM ProductLine WHERE Name = 'AUTOPIPE'), (SELECT RegionID FROM Region WHERE Name = 'SEAsia'),0,0,1);</v>
      </c>
      <c r="F7" t="str">
        <f>assignmentSQL('Master Table'!F7,'Master Table'!F$1,'Master Table'!$A7,'Master Table'!$B7)</f>
        <v>INSERT INTO Contact_ProductLine_Map (ContactId, ProductLineId, RegionId, IsSales, IsPM, IsUserAdvocate) VALUES ((SELECT ContactId FROM Contact WHERE Name = 'Rupesh Kumar'), (SELECT ProductLineId FROM ProductLine WHERE Name = 'SACS'), (SELECT RegionID FROM Region WHERE Name = 'SEAsia'),0,0,1);</v>
      </c>
      <c r="G7" t="str">
        <f>assignmentSQL('Master Table'!G7,'Master Table'!G$1,'Master Table'!$A7,'Master Table'!$B7)</f>
        <v>INSERT INTO Contact_ProductLine_Map (ContactId, ProductLineId, RegionId, IsSales, IsPM, IsUserAdvocate) VALUES ((SELECT ContactId FROM Contact WHERE Name = 'Rupesh Kumar'), (SELECT ProductLineId FROM ProductLine WHERE Name = 'MAXSURF'), (SELECT RegionID FROM Region WHERE Name = 'SEAsia'),0,0,1);</v>
      </c>
      <c r="H7" t="str">
        <f>assignmentSQL('Master Table'!H7,'Master Table'!H$1,'Master Table'!$A7,'Master Table'!$B7)</f>
        <v>INSERT INTO Contact_ProductLine_Map (ContactId, ProductLineId, RegionId, IsSales, IsPM, IsUserAdvocate) VALUES ((SELECT ContactId FROM Contact WHERE Name = 'Aswin Bandaru'), (SELECT ProductLineId FROM ProductLine WHERE Name = 'MOSES'), (SELECT RegionID FROM Region WHERE Name = 'SEAsia'),0,0,1);</v>
      </c>
      <c r="I7" t="str">
        <f>assignmentSQL('Master Table'!I7,'Master Table'!I$1,'Master Table'!$A7,'Master Table'!$B7)</f>
        <v>INSERT INTO Contact_ProductLine_Map (ContactId, ProductLineId, RegionId, IsSales, IsPM, IsUserAdvocate) VALUES ((SELECT ContactId FROM Contact WHERE Name = 'Diether Wagner'), (SELECT ProductLineId FROM ProductLine WHERE Name = 'RM'), (SELECT RegionID FROM Region WHERE Name = 'SEAsia'),0,0,1);</v>
      </c>
      <c r="J7" t="str">
        <f>assignmentSQL('Master Table'!J7,'Master Table'!J$1,'Master Table'!$A7,'Master Table'!$B7)</f>
        <v>INSERT INTO Contact_ProductLine_Map (ContactId, ProductLineId, RegionId, IsSales, IsPM, IsUserAdvocate) VALUES ((SELECT ContactId FROM Contact WHERE Name = 'Vinay Mysore'), (SELECT ProductLineId FROM ProductLine WHERE Name = 'LEAP'), (SELECT RegionID FROM Region WHERE Name = 'SEAsia'),0,0,1);</v>
      </c>
      <c r="K7" t="str">
        <f>assignmentSQL('Master Table'!K7,'Master Table'!K$1,'Master Table'!$A7,'Master Table'!$B7)</f>
        <v>INSERT INTO Contact_ProductLine_Map (ContactId, ProductLineId, RegionId, IsSales, IsPM, IsUserAdvocate) VALUES ((SELECT ContactId FROM Contact WHERE Name = 'Dilip Matange'), (SELECT ProductLineId FROM ProductLine WHERE Name = 'OBM'), (SELECT RegionID FROM Region WHERE Name = 'SEAsia'),0,0,1);</v>
      </c>
      <c r="L7" t="str">
        <f>assignmentSQL('Master Table'!L7,'Master Table'!L$1,'Master Table'!$A7,'Master Table'!$B7)</f>
        <v>INSERT INTO Contact_ProductLine_Map (ContactId, ProductLineId, RegionId, IsSales, IsPM, IsUserAdvocate) VALUES ((SELECT ContactId FROM Contact WHERE Name = 'Dilip Matange'), (SELECT ProductLineId FROM ProductLine WHERE Name = 'LARS'), (SELECT RegionID FROM Region WHERE Name = 'SEAsia'),0,0,1);</v>
      </c>
      <c r="M7" t="str">
        <f>assignmentSQL('Master Table'!M7,'Master Table'!M$1,'Master Table'!$A7,'Master Table'!$B7)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'SEAsia'),0,0,1);</v>
      </c>
      <c r="N7" t="str">
        <f>assignmentSQL('Master Table'!N7,'Master Table'!N$1,'Master Table'!$A7,'Master Table'!$B7)</f>
        <v>INSERT INTO Contact_ProductLine_Map (ContactId, ProductLineId, RegionId, IsSales, IsPM, IsUserAdvocate) VALUES ((SELECT ContactId FROM Contact WHERE Name = 'Orven Fajardo'), (SELECT ProductLineId FROM ProductLine WHERE Name = 'AECOsim Building Designer'), (SELECT RegionID FROM Region WHERE Name = 'SEAsia'),0,0,1);</v>
      </c>
      <c r="O7" t="str">
        <f>assignmentSQL('Master Table'!O7,'Master Table'!O$1,'Master Table'!$A7,'Master Table'!$B7)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'SEAsia'),0,0,1);</v>
      </c>
      <c r="P7" t="str">
        <f>assignmentSQL('Master Table'!P7,'Master Table'!P$1,'Master Table'!$A7,'Master Table'!$B7)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'SEAsia'),0,0,1);</v>
      </c>
      <c r="Q7" t="str">
        <f>assignmentSQL('Master Table'!Q7,'Master Table'!Q$1,'Master Table'!$A7,'Master Table'!$B7)</f>
        <v>INSERT INTO Contact_ProductLine_Map (ContactId, ProductLineId, RegionId, IsSales, IsPM, IsUserAdvocate) VALUES ((SELECT ContactId FROM Contact WHERE Name = 'Jimmy Lau'), (SELECT ProductLineId FROM ProductLine WHERE Name = 'GEOPAK'), (SELECT RegionID FROM Region WHERE Name = 'SEAsia'),0,0,1);</v>
      </c>
      <c r="R7" t="str">
        <f>assignmentSQL('Master Table'!R7,'Master Table'!R$1,'Master Table'!$A7,'Master Table'!$B7)</f>
        <v>INSERT INTO Contact_ProductLine_Map (ContactId, ProductLineId, RegionId, IsSales, IsPM, IsUserAdvocate) VALUES ((SELECT ContactId FROM Contact WHERE Name = 'Jimmy Lau'), (SELECT ProductLineId FROM ProductLine WHERE Name = 'InRoads'), (SELECT RegionID FROM Region WHERE Name = 'SEAsia'),0,0,1);</v>
      </c>
      <c r="S7" t="str">
        <f>assignmentSQL('Master Table'!S7,'Master Table'!S$1,'Master Table'!$A7,'Master Table'!$B7)</f>
        <v>INSERT INTO Contact_ProductLine_Map (ContactId, ProductLineId, RegionId, IsSales, IsPM, IsUserAdvocate) VALUES ((SELECT ContactId FROM Contact WHERE Name = 'Jimmy Lau'), (SELECT ProductLineId FROM ProductLine WHERE Name = 'MX'), (SELECT RegionID FROM Region WHERE Name = 'SEAsia'),0,0,1);</v>
      </c>
      <c r="T7" t="str">
        <f>assignmentSQL('Master Table'!T7,'Master Table'!T$1,'Master Table'!$A7,'Master Table'!$B7)</f>
        <v>INSERT INTO Contact_ProductLine_Map (ContactId, ProductLineId, RegionId, IsSales, IsPM, IsUserAdvocate) VALUES ((SELECT ContactId FROM Contact WHERE Name = 'Maylen Yee'), (SELECT ProductLineId FROM ProductLine WHERE Name = 'OpenRail'), (SELECT RegionID FROM Region WHERE Name = 'SEAsia'),0,0,1);</v>
      </c>
      <c r="U7" t="str">
        <f>assignmentSQL('Master Table'!U7,'Master Table'!U$1,'Master Table'!$A7,'Master Table'!$B7)</f>
        <v>INSERT INTO Contact_ProductLine_Map (ContactId, ProductLineId, RegionId, IsSales, IsPM, IsUserAdvocate) VALUES ((SELECT ContactId FROM Contact WHERE Name = 'Jimmy Lau'), (SELECT ProductLineId FROM ProductLine WHERE Name = 'OpenRoads'), (SELECT RegionID FROM Region WHERE Name = 'SEAsia'),0,0,1);</v>
      </c>
      <c r="V7" t="str">
        <f>assignmentSQL('Master Table'!V7,'Master Table'!V$1,'Master Table'!$A7,'Master Table'!$B7)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'SEAsia'),0,0,1);</v>
      </c>
      <c r="W7" t="str">
        <f>assignmentSQL('Master Table'!W7,'Master Table'!W$1,'Master Table'!$A7,'Master Table'!$B7)</f>
        <v>INSERT INTO Contact_ProductLine_Map (ContactId, ProductLineId, RegionId, IsSales, IsPM, IsUserAdvocate) VALUES ((SELECT ContactId FROM Contact WHERE Name = 'Jimmy Lau'), (SELECT ProductLineId FROM ProductLine WHERE Name = 'gINT'), (SELECT RegionID FROM Region WHERE Name = 'SEAsia'),0,0,1);</v>
      </c>
      <c r="X7" t="str">
        <f>assignmentSQL('Master Table'!X7,'Master Table'!X$1,'Master Table'!$A7,'Master Table'!$B7)</f>
        <v>INSERT INTO Contact_ProductLine_Map (ContactId, ProductLineId, RegionId, IsSales, IsPM, IsUserAdvocate) VALUES ((SELECT ContactId FROM Contact WHERE Name = 'Patrick Wicki'), (SELECT ProductLineId FROM ProductLine WHERE Name = 'AutoPLANT'), (SELECT RegionID FROM Region WHERE Name = 'SEAsia'),0,0,1);</v>
      </c>
      <c r="Y7" t="str">
        <f>assignmentSQL('Master Table'!Y7,'Master Table'!Y$1,'Master Table'!$A7,'Master Table'!$B7)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'SEAsia'),0,0,1);</v>
      </c>
      <c r="Z7" t="str">
        <f>assignmentSQL('Master Table'!Z7,'Master Table'!Z$1,'Master Table'!$A7,'Master Table'!$B7)</f>
        <v>INSERT INTO Contact_ProductLine_Map (ContactId, ProductLineId, RegionId, IsSales, IsPM, IsUserAdvocate) VALUES ((SELECT ContactId FROM Contact WHERE Name = 'Patrick Wicki'), (SELECT ProductLineId FROM ProductLine WHERE Name = 'OpenPlant'), (SELECT RegionID FROM Region WHERE Name = 'SEAsia'),0,0,1);</v>
      </c>
      <c r="AA7" t="str">
        <f>assignmentSQL('Master Table'!AA7,'Master Table'!AA$1,'Master Table'!$A7,'Master Table'!$B7)</f>
        <v>INSERT INTO Contact_ProductLine_Map (ContactId, ProductLineId, RegionId, IsSales, IsPM, IsUserAdvocate) VALUES ((SELECT ContactId FROM Contact WHERE Name = 'Patrick Wicki'), (SELECT ProductLineId FROM ProductLine WHERE Name = 'PlantSpace'), (SELECT RegionID FROM Region WHERE Name = 'SEAsia'),0,0,1);</v>
      </c>
      <c r="AB7" t="str">
        <f>assignmentSQL('Master Table'!AB7,'Master Table'!AB$1,'Master Table'!$A7,'Master Table'!$B7)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'SEAsia'),0,0,1);</v>
      </c>
      <c r="AC7" t="str">
        <f>assignmentSQL('Master Table'!AC7,'Master Table'!AC$1,'Master Table'!$A7,'Master Table'!$B7)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'SEAsia'),0,0,1);</v>
      </c>
      <c r="AD7" t="str">
        <f>assignmentSQL('Master Table'!AD7,'Master Table'!AD$1,'Master Table'!$A7,'Master Table'!$B7)</f>
        <v>INSERT INTO Contact_ProductLine_Map (ContactId, ProductLineId, RegionId, IsSales, IsPM, IsUserAdvocate) VALUES ((SELECT ContactId FROM Contact WHERE Name = 'Felix Zhou'), (SELECT ProductLineId FROM ProductLine WHERE Name = 'Pointools'), (SELECT RegionID FROM Region WHERE Name = 'SEAsia'),0,0,1);</v>
      </c>
      <c r="AE7" t="str">
        <f>assignmentSQL('Master Table'!AE7,'Master Table'!AE$1,'Master Table'!$A7,'Master Table'!$B7)</f>
        <v>INSERT INTO Contact_ProductLine_Map (ContactId, ProductLineId, RegionId, IsSales, IsPM, IsUserAdvocate) VALUES ((SELECT ContactId FROM Contact WHERE Name = 'Felix Zhou'), (SELECT ProductLineId FROM ProductLine WHERE Name = 'LumenRT'), (SELECT RegionID FROM Region WHERE Name = 'SEAsia'),0,0,1);</v>
      </c>
      <c r="AF7" t="str">
        <f>assignmentSQL('Master Table'!AF7,'Master Table'!AF$1,'Master Table'!$A7,'Master Table'!$B7)</f>
        <v>INSERT INTO Contact_ProductLine_Map (ContactId, ProductLineId, RegionId, IsSales, IsPM, IsUserAdvocate) VALUES ((SELECT ContactId FROM Contact WHERE Name = 'Felix Zhou'), (SELECT ProductLineId FROM ProductLine WHERE Name = 'ContextCapture'), (SELECT RegionID FROM Region WHERE Name = 'SEAsia'),0,0,1);</v>
      </c>
      <c r="AG7" t="str">
        <f>assignmentSQL('Master Table'!AG7,'Master Table'!AG$1,'Master Table'!$A7,'Master Table'!$B7)</f>
        <v>INSERT INTO Contact_ProductLine_Map (ContactId, ProductLineId, RegionId, IsSales, IsPM, IsUserAdvocate) VALUES ((SELECT ContactId FROM Contact WHERE Name = 'Felix Zhou'), (SELECT ProductLineId FROM ProductLine WHERE Name = 'Descartes'), (SELECT RegionID FROM Region WHERE Name = 'SEAsia'),0,0,1);</v>
      </c>
      <c r="AH7" t="str">
        <f>assignmentSQL('Master Table'!AH7,'Master Table'!AH$1,'Master Table'!$A7,'Master Table'!$B7)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'SEAsia'),0,0,1);</v>
      </c>
      <c r="AI7" t="str">
        <f>assignmentSQL('Master Table'!AI7,'Master Table'!AI$1,'Master Table'!$A7,'Master Table'!$B7)</f>
        <v/>
      </c>
      <c r="AJ7" t="str">
        <f>assignmentSQL('Master Table'!AJ7,'Master Table'!AJ$1,'Master Table'!$A7,'Master Table'!$B7)</f>
        <v>INSERT INTO Contact_ProductLine_Map (ContactId, ProductLineId, RegionId, IsSales, IsPM, IsUserAdvocate) VALUES ((SELECT ContactId FROM Contact WHERE Name = 'Engteck Soon'), (SELECT ProductLineId FROM ProductLine WHERE Name = 'AssetWise'), (SELECT RegionID FROM Region WHERE Name = 'SEAsia'),0,0,1);</v>
      </c>
      <c r="AK7" t="str">
        <f>assignmentSQL('Master Table'!AK7,'Master Table'!AK$1,'Master Table'!$A7,'Master Table'!$B7)</f>
        <v>INSERT INTO Contact_ProductLine_Map (ContactId, ProductLineId, RegionId, IsSales, IsPM, IsUserAdvocate) VALUES ((SELECT ContactId FROM Contact WHERE Name = 'Engteck Soon'), (SELECT ProductLineId FROM ProductLine WHERE Name = 'AssetWise APM'), (SELECT RegionID FROM Region WHERE Name = 'SEAsia'),0,0,1);</v>
      </c>
      <c r="AL7" t="str">
        <f>assignmentSQL('Master Table'!AL7,'Master Table'!AL$1,'Master Table'!$A7,'Master Table'!$B7)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'SEAsia'),0,0,1);</v>
      </c>
      <c r="AM7" t="str">
        <f>assignmentSQL('Master Table'!AM7,'Master Table'!AM$1,'Master Table'!$A7,'Master Table'!$B7)</f>
        <v>INSERT INTO Contact_ProductLine_Map (ContactId, ProductLineId, RegionId, IsSales, IsPM, IsUserAdvocate) VALUES ((SELECT ContactId FROM Contact WHERE Name = 'MSV Rao'), (SELECT ProductLineId FROM ProductLine WHERE Name = 'Map'), (SELECT RegionID FROM Region WHERE Name = 'SEAsia'),0,0,1);</v>
      </c>
      <c r="AN7" t="str">
        <f>assignmentSQL('Master Table'!AN7,'Master Table'!AN$1,'Master Table'!$A7,'Master Table'!$B7)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'SEAsia'),0,0,1);</v>
      </c>
      <c r="AO7" t="str">
        <f>assignmentSQL('Master Table'!AO7,'Master Table'!AO$1,'Master Table'!$A7,'Master Table'!$B7)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'SEAsia'),0,0,1);</v>
      </c>
      <c r="AP7" t="str">
        <f>assignmentSQL('Master Table'!AP7,'Master Table'!AP$1,'Master Table'!$A7,'Master Table'!$B7)</f>
        <v>INSERT INTO Contact_ProductLine_Map (ContactId, ProductLineId, RegionId, IsSales, IsPM, IsUserAdvocate) VALUES ((SELECT ContactId FROM Contact WHERE Name = 'MSV Rao'), (SELECT ProductLineId FROM ProductLine WHERE Name = 'Haestad'), (SELECT RegionID FROM Region WHERE Name = 'SEAsia'),0,0,1);</v>
      </c>
      <c r="AQ7" t="str">
        <f>assignmentSQL('Master Table'!AQ7,'Master Table'!AQ$1,'Master Table'!$A7,'Master Table'!$B7)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'SEAsia'),0,0,1);</v>
      </c>
      <c r="AR7" t="str">
        <f>assignmentSQL('Master Table'!AR7,'Master Table'!AR$1,'Master Table'!$A7,'Master Table'!$B7)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'SEAsia'),0,0,1);</v>
      </c>
      <c r="AS7" t="str">
        <f>assignmentSQL('Master Table'!AS7,'Master Table'!AS$1,'Master Table'!$A7,'Master Table'!$B7)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'SEAsia'),0,0,1);</v>
      </c>
      <c r="AT7" t="str">
        <f>assignmentSQL('Master Table'!AT7,'Master Table'!AT$1,'Master Table'!$A7,'Master Table'!$B7)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'SEAsia'),0,0,1);</v>
      </c>
      <c r="AU7" t="str">
        <f>assignmentSQL('Master Table'!AU7,'Master Table'!AU$1,'Master Table'!$A7,'Master Table'!$B7)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'SEAsia'),0,0,1);</v>
      </c>
      <c r="AV7" t="str">
        <f>assignmentSQL('Master Table'!AV7,'Master Table'!AV$1,'Master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Design Integration'), (SELECT RegionID FROM Region WHERE Name = 'SEAsia'),0,0,1);</v>
      </c>
      <c r="AW7" t="str">
        <f>assignmentSQL('Master Table'!AW7,'Master Table'!AW$1,'Master Table'!$A7,'Master Table'!$B7)</f>
        <v>INSERT INTO Contact_ProductLine_Map (ContactId, ProductLineId, RegionId, IsSales, IsPM, IsUserAdvocate) VALUES ((SELECT ContactId FROM Contact WHERE Name = 'Ranveer Basra'), (SELECT ProductLineId FROM ProductLine WHERE Name = 'ProjectWise Issues Resolution'), (SELECT RegionID FROM Region WHERE Name = 'SEAsia'),0,0,1);</v>
      </c>
      <c r="AX7" t="str">
        <f>assignmentSQL('Master Table'!AX7,'Master Table'!AX$1,'Master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Explorer Civil 3D Integration Module'), (SELECT RegionID FROM Region WHERE Name = 'SEAsia'),0,0,1);</v>
      </c>
      <c r="AY7" t="str">
        <f>assignmentSQL('Master Table'!AY7,'Master Table'!AY$1,'Master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Explorer Revit Integration Module'), (SELECT RegionID FROM Region WHERE Name = 'SEAsia'),0,0,1);</v>
      </c>
      <c r="AZ7" t="str">
        <f>assignmentSQL('Master Table'!AZ7,'Master Table'!AZ$1,'Master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Explorer Office Integration Module'), (SELECT RegionID FROM Region WHERE Name = 'SEAsia'),0,0,1);</v>
      </c>
      <c r="BA7" t="str">
        <f>assignmentSQL('Master Table'!BA7,'Master Table'!BA$1,'Master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Edge Mobile'), (SELECT RegionID FROM Region WHERE Name = 'SEAsia'),0,0,1);</v>
      </c>
      <c r="BB7" t="str">
        <f>assignmentSQL('Master Table'!BB7,'Master Table'!BB$1,'Master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WorkSite'), (SELECT RegionID FROM Region WHERE Name = 'SEAsia'),0,0,1);</v>
      </c>
      <c r="BC7" t="str">
        <f>assignmentSQL('Master Table'!BC7,'Master Table'!BC$1,'Master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Edge'), (SELECT RegionID FROM Region WHERE Name = 'SEAsia'),0,0,1);</v>
      </c>
      <c r="BD7" t="str">
        <f>assignmentSQL('Master Table'!BD7,'Master Table'!BD$1,'Master Table'!$A7,'Master Table'!$B7)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'SEAsia'),0,0,1);</v>
      </c>
      <c r="BE7" t="str">
        <f>assignmentSQL('Master Table'!BE7,'Master Table'!BE$1,'Master Table'!$A7,'Master Table'!$B7)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'SEAsia'),0,0,1);</v>
      </c>
      <c r="BF7" t="str">
        <f>assignmentSQL('Master Table'!BF7,'Master Table'!BF$1,'Master Table'!$A7,'Master Table'!$B7)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'SEAsia'),0,0,1);</v>
      </c>
      <c r="BG7" t="str">
        <f>assignmentSQL('Master Table'!BG7,'Master Table'!BG$1,'Master Table'!$A7,'Master Table'!$B7)</f>
        <v>INSERT INTO Contact_ProductLine_Map (ContactId, ProductLineId, RegionId, IsSales, IsPM, IsUserAdvocate) VALUES ((SELECT ContactId FROM Contact WHERE Name = 'Molly Watts'), (SELECT ProductLineId FROM ProductLine WHERE Name = 'Deliverables Management'), (SELECT RegionID FROM Region WHERE Name = 'SEAsia'),0,0,1);</v>
      </c>
      <c r="BH7" t="str">
        <f>assignmentSQL('Master Table'!BH7,'Master Table'!BH$1,'Master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'SEAsia'),0,0,1);</v>
      </c>
      <c r="BI7" t="str">
        <f>assignmentSQL('Master Table'!BI7,'Master Table'!BI$1,'Master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"Field Data Management'), (SELECT RegionID FROM Region WHERE Name = 'SEAsia'),0,0,1);</v>
      </c>
      <c r="BJ7" t="str">
        <f>assignmentSQL('Master Table'!BJ7,'Master Table'!BJ$1,'Master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'SEAsia'),0,0,1);</v>
      </c>
      <c r="BK7" t="str">
        <f>assignmentSQL('Master Table'!BK7,'Master Table'!BK$1,'Master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InterPlot Server and Interplot Organizer'), (SELECT RegionID FROM Region WHERE Name = 'SEAsia'),0,0,1);</v>
      </c>
      <c r="BL7" t="str">
        <f>assignmentSQL('Master Table'!BL7,'Master Table'!BL$1,'Master Table'!$A7,'Master Table'!$B7)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i-models'), (SELECT RegionID FROM Region WHERE Name = 'SEAsia'),0,0,1);</v>
      </c>
    </row>
    <row r="8" spans="3:64" x14ac:dyDescent="0.25">
      <c r="C8" t="str">
        <f>assignmentSQL('Master Table'!C8,'Master Table'!C$1,'Master Table'!$A8,'Master Table'!$B8)</f>
        <v>INSERT INTO Contact_ProductLine_Map (ContactId, ProductLineId, RegionId, IsSales, IsPM, IsUserAdvocate) VALUES ((SELECT ContactId FROM Contact WHERE Name = 'David McGovern'), (SELECT ProductLineId FROM ProductLine WHERE Name = 'STAAD'), (SELECT RegionID FROM Region WHERE Name = 'EU1'),1,0,0);</v>
      </c>
      <c r="D8" t="str">
        <f>assignmentSQL('Master Table'!D8,'Master Table'!D$1,'Master Table'!$A8,'Master Table'!$B8)</f>
        <v>INSERT INTO Contact_ProductLine_Map (ContactId, ProductLineId, RegionId, IsSales, IsPM, IsUserAdvocate) VALUES ((SELECT ContactId FROM Contact WHERE Name = 'David McGovern'), (SELECT ProductLineId FROM ProductLine WHERE Name = 'RAM'), (SELECT RegionID FROM Region WHERE Name = 'EU1'),1,0,0);</v>
      </c>
      <c r="E8" t="str">
        <f>assignmentSQL('Master Table'!E8,'Master Table'!E$1,'Master Table'!$A8,'Master Table'!$B8)</f>
        <v>INSERT INTO Contact_ProductLine_Map (ContactId, ProductLineId, RegionId, IsSales, IsPM, IsUserAdvocate) VALUES ((SELECT ContactId FROM Contact WHERE Name = 'David McGovern'), (SELECT ProductLineId FROM ProductLine WHERE Name = 'AUTOPIPE'), (SELECT RegionID FROM Region WHERE Name = 'EU1'),1,0,0);</v>
      </c>
      <c r="F8" t="str">
        <f>assignmentSQL('Master Table'!F8,'Master Table'!F$1,'Master Table'!$A8,'Master Table'!$B8)</f>
        <v>INSERT INTO Contact_ProductLine_Map (ContactId, ProductLineId, RegionId, IsSales, IsPM, IsUserAdvocate) VALUES ((SELECT ContactId FROM Contact WHERE Name = 'David McGovern'), (SELECT ProductLineId FROM ProductLine WHERE Name = 'SACS'), (SELECT RegionID FROM Region WHERE Name = 'EU1'),1,0,0);</v>
      </c>
      <c r="G8" t="str">
        <f>assignmentSQL('Master Table'!G8,'Master Table'!G$1,'Master Table'!$A8,'Master Table'!$B8)</f>
        <v>INSERT INTO Contact_ProductLine_Map (ContactId, ProductLineId, RegionId, IsSales, IsPM, IsUserAdvocate) VALUES ((SELECT ContactId FROM Contact WHERE Name = 'David McGovern'), (SELECT ProductLineId FROM ProductLine WHERE Name = 'MAXSURF'), (SELECT RegionID FROM Region WHERE Name = 'EU1'),1,0,0);</v>
      </c>
      <c r="H8" t="str">
        <f>assignmentSQL('Master Table'!H8,'Master Table'!H$1,'Master Table'!$A8,'Master Table'!$B8)</f>
        <v>INSERT INTO Contact_ProductLine_Map (ContactId, ProductLineId, RegionId, IsSales, IsPM, IsUserAdvocate) VALUES ((SELECT ContactId FROM Contact WHERE Name = 'David McGovern'), (SELECT ProductLineId FROM ProductLine WHERE Name = 'MOSES'), (SELECT RegionID FROM Region WHERE Name = 'EU1'),1,0,0);</v>
      </c>
      <c r="I8" t="str">
        <f>assignmentSQL('Master Table'!I8,'Master Table'!I$1,'Master Table'!$A8,'Master Table'!$B8)</f>
        <v/>
      </c>
      <c r="J8" t="str">
        <f>assignmentSQL('Master Table'!J8,'Master Table'!J$1,'Master Table'!$A8,'Master Table'!$B8)</f>
        <v/>
      </c>
      <c r="K8" t="str">
        <f>assignmentSQL('Master Table'!K8,'Master Table'!K$1,'Master Table'!$A8,'Master Table'!$B8)</f>
        <v/>
      </c>
      <c r="L8" t="str">
        <f>assignmentSQL('Master Table'!L8,'Master Table'!L$1,'Master Table'!$A8,'Master Table'!$B8)</f>
        <v/>
      </c>
      <c r="M8" t="str">
        <f>assignmentSQL('Master Table'!M8,'Master Table'!M$1,'Master Table'!$A8,'Master Table'!$B8)</f>
        <v>INSERT INTO Contact_ProductLine_Map (ContactId, ProductLineId, RegionId, IsSales, IsPM, IsUserAdvocate) VALUES ((SELECT ContactId FROM Contact WHERE Name = 'David McGovern'), (SELECT ProductLineId FROM ProductLine WHERE Name = 'SITEOPS'), (SELECT RegionID FROM Region WHERE Name = 'EU1'),1,0,0);</v>
      </c>
      <c r="N8" t="str">
        <f>assignmentSQL('Master Table'!N8,'Master Table'!N$1,'Master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'AECOsim Building Designer'),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'AECOsim Building Designer'),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'AECOsim Building Designer'), (SELECT RegionID FROM Region WHERE Name = 'EU1'),1,0,0);</v>
      </c>
      <c r="O8" t="str">
        <f>assignmentSQL('Master Table'!O8,'Master Table'!O$1,'Master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'speedikon'),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'speedikon'),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'speedikon'), (SELECT RegionID FROM Region WHERE Name = 'EU1'),1,0,0);</v>
      </c>
      <c r="P8" t="str">
        <f>assignmentSQL('Master Table'!P8,'Master Table'!P$1,'Master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'Hevacomp'),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'Hevacomp'),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'Hevacomp'), (SELECT RegionID FROM Region WHERE Name = 'EU1'),1,0,0);</v>
      </c>
      <c r="Q8" t="str">
        <f>assignmentSQL('Master Table'!Q8,'Master Table'!Q$1,'Master Table'!$A8,'Master Table'!$B8)</f>
        <v>INSERT INTO Contact_ProductLine_Map (ContactId, ProductLineId, RegionId, IsSales, IsPM, IsUserAdvocate) VALUES ((SELECT ContactId FROM Contact WHERE Name = 'Rick Black'), (SELECT ProductLineId FROM ProductLine WHERE Name = 'GEOPAK'), (SELECT RegionID FROM Region WHERE Name = 'EU1'),1,0,0);</v>
      </c>
      <c r="R8" t="str">
        <f>assignmentSQL('Master Table'!R8,'Master Table'!R$1,'Master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'InRoads'),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'InRoads'),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'InRoads'), (SELECT RegionID FROM Region WHERE Name = 'EU1'),1,0,0);INSERT INTO Contact_ProductLine_Map (ContactId, ProductLineId, RegionId, IsSales, IsPM, IsUserAdvocate) VALUES ((SELECT ContactId FROM Contact WHERE Name = 'Scott Ryan'), (SELECT ProductLineId FROM ProductLine WHERE Name = 'InRoads'), (SELECT RegionID FROM Region WHERE Name = 'EU1'),1,0,0);</v>
      </c>
      <c r="S8" t="str">
        <f>assignmentSQL('Master Table'!S8,'Master Table'!S$1,'Master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'MX'),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'MX'),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'MX'), (SELECT RegionID FROM Region WHERE Name = 'EU1'),1,0,0);INSERT INTO Contact_ProductLine_Map (ContactId, ProductLineId, RegionId, IsSales, IsPM, IsUserAdvocate) VALUES ((SELECT ContactId FROM Contact WHERE Name = 'Scott Ryan'), (SELECT ProductLineId FROM ProductLine WHERE Name = 'MX'), (SELECT RegionID FROM Region WHERE Name = 'EU1'),1,0,0);</v>
      </c>
      <c r="T8" t="str">
        <f>assignmentSQL('Master Table'!T8,'Master Table'!T$1,'Master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'OpenRail'),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'OpenRail'),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'OpenRail'), (SELECT RegionID FROM Region WHERE Name = 'EU1'),1,0,0);INSERT INTO Contact_ProductLine_Map (ContactId, ProductLineId, RegionId, IsSales, IsPM, IsUserAdvocate) VALUES ((SELECT ContactId FROM Contact WHERE Name = 'Scott Ryan'), (SELECT ProductLineId FROM ProductLine WHERE Name = 'OpenRail'), (SELECT RegionID FROM Region WHERE Name = 'EU1'),1,0,0);</v>
      </c>
      <c r="U8" t="str">
        <f>assignmentSQL('Master Table'!U8,'Master Table'!U$1,'Master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'OpenRoads'),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'OpenRoads'),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'OpenRoads'), (SELECT RegionID FROM Region WHERE Name = 'EU1'),1,0,0);INSERT INTO Contact_ProductLine_Map (ContactId, ProductLineId, RegionId, IsSales, IsPM, IsUserAdvocate) VALUES ((SELECT ContactId FROM Contact WHERE Name = 'Scott Ryan'), (SELECT ProductLineId FROM ProductLine WHERE Name = 'OpenRoads'), (SELECT RegionID FROM Region WHERE Name = 'EU1'),1,0,0);</v>
      </c>
      <c r="V8" t="str">
        <f>assignmentSQL('Master Table'!V8,'Master Table'!V$1,'Master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'ConceptStation'),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'ConceptStation'),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'ConceptStation'), (SELECT RegionID FROM Region WHERE Name = 'EU1'),1,0,0);INSERT INTO Contact_ProductLine_Map (ContactId, ProductLineId, RegionId, IsSales, IsPM, IsUserAdvocate) VALUES ((SELECT ContactId FROM Contact WHERE Name = 'Scott Ryan'), (SELECT ProductLineId FROM ProductLine WHERE Name = 'ConceptStation'), (SELECT RegionID FROM Region WHERE Name = 'EU1'),1,0,0);</v>
      </c>
      <c r="W8" t="str">
        <f>assignmentSQL('Master Table'!W8,'Master Table'!W$1,'Master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'gINT'),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'gINT'),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'gINT'), (SELECT RegionID FROM Region WHERE Name = 'EU1'),1,0,0);INSERT INTO Contact_ProductLine_Map (ContactId, ProductLineId, RegionId, IsSales, IsPM, IsUserAdvocate) VALUES ((SELECT ContactId FROM Contact WHERE Name = 'Scott Ryan'), (SELECT ProductLineId FROM ProductLine WHERE Name = 'gINT'), (SELECT RegionID FROM Region WHERE Name = 'EU1'),1,0,0);</v>
      </c>
      <c r="X8" t="str">
        <f>assignmentSQL('Master Table'!X8,'Master Table'!X$1,'Master Table'!$A8,'Master Table'!$B8)</f>
        <v>INSERT INTO Contact_ProductLine_Map (ContactId, ProductLineId, RegionId, IsSales, IsPM, IsUserAdvocate) VALUES ((SELECT ContactId FROM Contact WHERE Name = 'Michael Curran'), (SELECT ProductLineId FROM ProductLine WHERE Name = 'AutoPLANT'), (SELECT RegionID FROM Region WHERE Name = 'EU1'),1,0,0);</v>
      </c>
      <c r="Y8" t="str">
        <f>assignmentSQL('Master Table'!Y8,'Master Table'!Y$1,'Master Table'!$A8,'Master Table'!$B8)</f>
        <v>INSERT INTO Contact_ProductLine_Map (ContactId, ProductLineId, RegionId, IsSales, IsPM, IsUserAdvocate) VALUES ((SELECT ContactId FROM Contact WHERE Name = 'Michael Curran'), (SELECT ProductLineId FROM ProductLine WHERE Name = 'AXSYS'), (SELECT RegionID FROM Region WHERE Name = 'EU1'),1,0,0);</v>
      </c>
      <c r="Z8" t="str">
        <f>assignmentSQL('Master Table'!Z8,'Master Table'!Z$1,'Master Table'!$A8,'Master Table'!$B8)</f>
        <v>INSERT INTO Contact_ProductLine_Map (ContactId, ProductLineId, RegionId, IsSales, IsPM, IsUserAdvocate) VALUES ((SELECT ContactId FROM Contact WHERE Name = 'Michael Curran'), (SELECT ProductLineId FROM ProductLine WHERE Name = 'OpenPlant'), (SELECT RegionID FROM Region WHERE Name = 'EU1'),1,0,0);</v>
      </c>
      <c r="AA8" t="str">
        <f>assignmentSQL('Master Table'!AA8,'Master Table'!AA$1,'Master Table'!$A8,'Master Table'!$B8)</f>
        <v>INSERT INTO Contact_ProductLine_Map (ContactId, ProductLineId, RegionId, IsSales, IsPM, IsUserAdvocate) VALUES ((SELECT ContactId FROM Contact WHERE Name = 'Michael Curran'), (SELECT ProductLineId FROM ProductLine WHERE Name = 'PlantSpace'), (SELECT RegionID FROM Region WHERE Name = 'EU1'),1,0,0);</v>
      </c>
      <c r="AB8" t="str">
        <f>assignmentSQL('Master Table'!AB8,'Master Table'!AB$1,'Master Table'!$A8,'Master Table'!$B8)</f>
        <v>INSERT INTO Contact_ProductLine_Map (ContactId, ProductLineId, RegionId, IsSales, IsPM, IsUserAdvocate) VALUES ((SELECT ContactId FROM Contact WHERE Name = 'Craven Naidoo'), (SELECT ProductLineId FROM ProductLine WHERE Name = 'MineCycle'), (SELECT RegionID FROM Region WHERE Name = 'EU1'),1,0,0);</v>
      </c>
      <c r="AC8" t="str">
        <f>assignmentSQL('Master Table'!AC8,'Master Table'!AC$1,'Master Table'!$A8,'Master Table'!$B8)</f>
        <v>INSERT INTO Contact_ProductLine_Map (ContactId, ProductLineId, RegionId, IsSales, IsPM, IsUserAdvocate) VALUES ((SELECT ContactId FROM Contact WHERE Name = 'Michael Curran'), (SELECT ProductLineId FROM ProductLine WHERE Name = 'Plantwise'), (SELECT RegionID FROM Region WHERE Name = 'EU1'),1,0,0);</v>
      </c>
      <c r="AD8" t="str">
        <f>assignmentSQL('Master Table'!AD8,'Master Table'!AD$1,'Master Table'!$A8,'Master Table'!$B8)</f>
        <v>INSERT INTO Contact_ProductLine_Map (ContactId, ProductLineId, RegionId, IsSales, IsPM, IsUserAdvocate) VALUES ((SELECT ContactId FROM Contact WHERE Name = 'Mourad Labguira'), (SELECT ProductLineId FROM ProductLine WHERE Name = 'Pointools'),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'Pointools'), (SELECT RegionID FROM Region WHERE Name = 'EU1'),1,0,0);</v>
      </c>
      <c r="AE8" t="str">
        <f>assignmentSQL('Master Table'!AE8,'Master Table'!AE$1,'Master Table'!$A8,'Master Table'!$B8)</f>
        <v>INSERT INTO Contact_ProductLine_Map (ContactId, ProductLineId, RegionId, IsSales, IsPM, IsUserAdvocate) VALUES ((SELECT ContactId FROM Contact WHERE Name = 'Erwin Van Meurs'), (SELECT ProductLineId FROM ProductLine WHERE Name = 'LumenRT'), (SELECT RegionID FROM Region WHERE Name = 'EU1'),1,0,0);INSERT INTO Contact_ProductLine_Map (ContactId, ProductLineId, RegionId, IsSales, IsPM, IsUserAdvocate) VALUES ((SELECT ContactId FROM Contact WHERE Name = 'Mourad Labguira'), (SELECT ProductLineId FROM ProductLine WHERE Name = 'LumenRT'),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'LumenRT'), (SELECT RegionID FROM Region WHERE Name = 'EU1'),1,0,0);</v>
      </c>
      <c r="AF8" t="str">
        <f>assignmentSQL('Master Table'!AF8,'Master Table'!AF$1,'Master Table'!$A8,'Master Table'!$B8)</f>
        <v>INSERT INTO Contact_ProductLine_Map (ContactId, ProductLineId, RegionId, IsSales, IsPM, IsUserAdvocate) VALUES ((SELECT ContactId FROM Contact WHERE Name = 'Mourad Labguira'), (SELECT ProductLineId FROM ProductLine WHERE Name = 'ContextCapture'),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'ContextCapture'), (SELECT RegionID FROM Region WHERE Name = 'EU1'),1,0,0);</v>
      </c>
      <c r="AG8" t="str">
        <f>assignmentSQL('Master Table'!AG8,'Master Table'!AG$1,'Master Table'!$A8,'Master Table'!$B8)</f>
        <v>INSERT INTO Contact_ProductLine_Map (ContactId, ProductLineId, RegionId, IsSales, IsPM, IsUserAdvocate) VALUES ((SELECT ContactId FROM Contact WHERE Name = 'Mourad Labguira'), (SELECT ProductLineId FROM ProductLine WHERE Name = 'Descartes'), (SELECT RegionID FROM Region WHERE Name = 'EU1'),1,0,0);</v>
      </c>
      <c r="AH8" t="str">
        <f>assignmentSQL('Master Table'!AH8,'Master Table'!AH$1,'Master Table'!$A8,'Master Table'!$B8)</f>
        <v>INSERT INTO Contact_ProductLine_Map (ContactId, ProductLineId, RegionId, IsSales, IsPM, IsUserAdvocate) VALUES ((SELECT ContactId FROM Contact WHERE Name = 'Mathis Hasle'), (SELECT ProductLineId FROM ProductLine WHERE Name = 'ProStructures'), (SELECT RegionID FROM Region WHERE Name = 'EU1'),1,0,0);INSERT INTO Contact_ProductLine_Map (ContactId, ProductLineId, RegionId, IsSales, IsPM, IsUserAdvocate) VALUES ((SELECT ContactId FROM Contact WHERE Name = 'Stefania Rando'), (SELECT ProductLineId FROM ProductLine WHERE Name = 'ProStructures'), (SELECT RegionID FROM Region WHERE Name = 'EU1'),1,0,0);INSERT INTO Contact_ProductLine_Map (ContactId, ProductLineId, RegionId, IsSales, IsPM, IsUserAdvocate) VALUES ((SELECT ContactId FROM Contact WHERE Name = 'Thorsten Fillmann'), (SELECT ProductLineId FROM ProductLine WHERE Name = 'ProStructures'), (SELECT RegionID FROM Region WHERE Name = 'EU1'),1,0,0);</v>
      </c>
      <c r="AI8" t="str">
        <f>assignmentSQL('Master Table'!AI8,'Master Table'!AI$1,'Master Table'!$A8,'Master Table'!$B8)</f>
        <v>INSERT INTO Contact_ProductLine_Map (ContactId, ProductLineId, RegionId, IsSales, IsPM, IsUserAdvocate) VALUES ((SELECT ContactId FROM Contact WHERE Name = 'Rick Black'), (SELECT ProductLineId FROM ProductLine WHERE Name = 'promis*e'), (SELECT RegionID FROM Region WHERE Name = 'EU1'),1,0,0);</v>
      </c>
      <c r="AJ8" t="str">
        <f>assignmentSQL('Master Table'!AJ8,'Master Table'!AJ$1,'Master Table'!$A8,'Master Table'!$B8)</f>
        <v>INSERT INTO Contact_ProductLine_Map (ContactId, ProductLineId, RegionId, IsSales, IsPM, IsUserAdvocate) VALUES ((SELECT ContactId FROM Contact WHERE Name = 'Andrew Rhodes'), (SELECT ProductLineId FROM ProductLine WHERE Name = 'AssetWise'), (SELECT RegionID FROM Region WHERE Name = 'EU1'),1,0,0);</v>
      </c>
      <c r="AK8" t="str">
        <f>assignmentSQL('Master Table'!AK8,'Master Table'!AK$1,'Master Table'!$A8,'Master Table'!$B8)</f>
        <v>INSERT INTO Contact_ProductLine_Map (ContactId, ProductLineId, RegionId, IsSales, IsPM, IsUserAdvocate) VALUES ((SELECT ContactId FROM Contact WHERE Name = 'David Smith'), (SELECT ProductLineId FROM ProductLine WHERE Name = 'AssetWise APM'), (SELECT RegionID FROM Region WHERE Name = 'EU1'),1,0,0);</v>
      </c>
      <c r="AL8" t="str">
        <f>assignmentSQL('Master Table'!AL8,'Master Table'!AL$1,'Master Table'!$A8,'Master Table'!$B8)</f>
        <v>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'EU1'),1,0,0);INSERT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'EU1'),1,0,0);</v>
      </c>
      <c r="AM8" t="str">
        <f>assignmentSQL('Master Table'!AM8,'Master Table'!AM$1,'Master Table'!$A8,'Master Table'!$B8)</f>
        <v>INSERT INTO Contact_ProductLine_Map (ContactId, ProductLineId, RegionId, IsSales, IsPM, IsUserAdvocate) VALUES ((SELECT ContactId FROM Contact WHERE Name = 'Darja Kalau'), (SELECT ProductLineId FROM ProductLine WHERE Name = 'Map'), (SELECT RegionID FROM Region WHERE Name = 'EU1'),1,0,0);</v>
      </c>
      <c r="AN8" t="str">
        <f>assignmentSQL('Master Table'!AN8,'Master Table'!AN$1,'Master Table'!$A8,'Master Table'!$B8)</f>
        <v>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'EU1'),1,0,0);INSERT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'EU1'),1,0,0);</v>
      </c>
      <c r="AO8" t="str">
        <f>assignmentSQL('Master Table'!AO8,'Master Table'!AO$1,'Master Table'!$A8,'Master Table'!$B8)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'EU1'),1,0,0);INSERT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'EU1'),1,0,0);</v>
      </c>
      <c r="AP8" t="str">
        <f>assignmentSQL('Master Table'!AP8,'Master Table'!AP$1,'Master Table'!$A8,'Master Table'!$B8)</f>
        <v>INSERT INTO Contact_ProductLine_Map (ContactId, ProductLineId, RegionId, IsSales, IsPM, IsUserAdvocate) VALUES ((SELECT ContactId FROM Contact WHERE Name = 'Slavco Velichkov'), (SELECT ProductLineId FROM ProductLine WHERE Name = 'Haestad'), (SELECT RegionID FROM Region WHERE Name = 'EU1'),1,0,0);</v>
      </c>
      <c r="AQ8" t="str">
        <f>assignmentSQL('Master Table'!AQ8,'Master Table'!AQ$1,'Master Table'!$A8,'Master Table'!$B8)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'EU1'),1,0,0);INSERT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'EU1'),1,0,0);</v>
      </c>
      <c r="AR8" t="str">
        <f>assignmentSQL('Master Table'!AR8,'Master Table'!AR$1,'Master Table'!$A8,'Master Table'!$B8)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'EU1'),1,0,0);</v>
      </c>
      <c r="AS8" t="str">
        <f>assignmentSQL('Master Table'!AS8,'Master Table'!AS$1,'Master Table'!$A8,'Master Table'!$B8)</f>
        <v>INSERT INTO Contact_ProductLine_Map (ContactId, ProductLineId, RegionId, IsSales, IsPM, IsUserAdvocate) VALUES ((SELECT ContactId FROM Contact WHERE Name = 'David Smith'), (SELECT ProductLineId FROM ProductLine WHERE Name = 'Amulet'), (SELECT RegionID FROM Region WHERE Name = 'EU1'),1,0,0);</v>
      </c>
      <c r="AT8" t="str">
        <f>assignmentSQL('Master Table'!AT8,'Master Table'!AT$1,'Master Table'!$A8,'Master Table'!$B8)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'EU1'),1,0,0);</v>
      </c>
      <c r="AU8" t="str">
        <f>assignmentSQL('Master Table'!AU8,'Master Table'!AU$1,'Master Table'!$A8,'Master Table'!$B8)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'EU1'),1,0,0);</v>
      </c>
      <c r="AV8" t="str">
        <f>assignmentSQL('Master Table'!AV8,'Master Table'!AV$1,'Master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Design Integration'), (SELECT RegionID FROM Region WHERE Name = 'EU1'),1,0,0);</v>
      </c>
      <c r="AW8" t="str">
        <f>assignmentSQL('Master Table'!AW8,'Master Table'!AW$1,'Master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Issues Resolution'), (SELECT RegionID FROM Region WHERE Name = 'EU1'),1,0,0);</v>
      </c>
      <c r="AX8" t="str">
        <f>assignmentSQL('Master Table'!AX8,'Master Table'!AX$1,'Master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Explorer Civil 3D Integration Module'), (SELECT RegionID FROM Region WHERE Name = 'EU1'),1,0,0);</v>
      </c>
      <c r="AY8" t="str">
        <f>assignmentSQL('Master Table'!AY8,'Master Table'!AY$1,'Master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Explorer Revit Integration Module'), (SELECT RegionID FROM Region WHERE Name = 'EU1'),1,0,0);</v>
      </c>
      <c r="AZ8" t="str">
        <f>assignmentSQL('Master Table'!AZ8,'Master Table'!AZ$1,'Master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Explorer Office Integration Module'), (SELECT RegionID FROM Region WHERE Name = 'EU1'),1,0,0);</v>
      </c>
      <c r="BA8" t="str">
        <f>assignmentSQL('Master Table'!BA8,'Master Table'!BA$1,'Master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Edge Mobile'), (SELECT RegionID FROM Region WHERE Name = 'EU1'),1,0,0);</v>
      </c>
      <c r="BB8" t="str">
        <f>assignmentSQL('Master Table'!BB8,'Master Table'!BB$1,'Master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WorkSite'), (SELECT RegionID FROM Region WHERE Name = 'EU1'),1,0,0);</v>
      </c>
      <c r="BC8" t="str">
        <f>assignmentSQL('Master Table'!BC8,'Master Table'!BC$1,'Master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Edge'), (SELECT RegionID FROM Region WHERE Name = 'EU1'),1,0,0);</v>
      </c>
      <c r="BD8" t="str">
        <f>assignmentSQL('Master Table'!BD8,'Master Table'!BD$1,'Master Table'!$A8,'Master Table'!$B8)</f>
        <v>INSERT INTO Contact_ProductLine_Map (ContactId, ProductLineId, RegionId, IsSales, IsPM, IsUserAdvocate) VALUES ((SELECT ContactId FROM Contact WHERE Name = 'Rocco Masiello'), (SELECT ProductLineId FROM ProductLine WHERE Name = 'Navigator CE'), (SELECT RegionID FROM Region WHERE Name = 'EU1'),1,0,0);</v>
      </c>
      <c r="BE8" t="str">
        <f>assignmentSQL('Master Table'!BE8,'Master Table'!BE$1,'Master Table'!$A8,'Master Table'!$B8)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'EU1'),1,0,0);</v>
      </c>
      <c r="BF8" t="str">
        <f>assignmentSQL('Master Table'!BF8,'Master Table'!BF$1,'Master Table'!$A8,'Master Table'!$B8)</f>
        <v>INSERT INTO Contact_ProductLine_Map (ContactId, ProductLineId, RegionId, IsSales, IsPM, IsUserAdvocate) VALUES ((SELECT ContactId FROM Contact WHERE Name = 'Eric Law'), (SELECT ProductLineId FROM ProductLine WHERE Name = 'EADOC UI Upgrade'), (SELECT RegionID FROM Region WHERE Name = 'EU1'),1,0,0);</v>
      </c>
      <c r="BG8" t="str">
        <f>assignmentSQL('Master Table'!BG8,'Master Table'!BG$1,'Master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'Deliverables Management'), (SELECT RegionID FROM Region WHERE Name = 'EU1'),1,0,0);</v>
      </c>
      <c r="BH8" t="str">
        <f>assignmentSQL('Master Table'!BH8,'Master Table'!BH$1,'Master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'Bentley Automation Service CONNECT Edition'), (SELECT RegionID FROM Region WHERE Name = 'EU1'),1,0,0);</v>
      </c>
      <c r="BI8" t="str">
        <f>assignmentSQL('Master Table'!BI8,'Master Table'!BI$1,'Master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"Field Data Management'), (SELECT RegionID FROM Region WHERE Name = 'EU1'),1,0,0);</v>
      </c>
      <c r="BJ8" t="str">
        <f>assignmentSQL('Master Table'!BJ8,'Master Table'!BJ$1,'Master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i-model Composition Server for PDF'), (SELECT RegionID FROM Region WHERE Name = 'EU1'),1,0,0);</v>
      </c>
      <c r="BK8" t="str">
        <f>assignmentSQL('Master Table'!BK8,'Master Table'!BK$1,'Master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InterPlot Server and Interplot Organizer'), (SELECT RegionID FROM Region WHERE Name = 'EU1'),1,0,0);</v>
      </c>
      <c r="BL8" t="str">
        <f>assignmentSQL('Master Table'!BL8,'Master Table'!BL$1,'Master Table'!$A8,'Master Table'!$B8)</f>
        <v>INSERT INTO Contact_ProductLine_Map (ContactId, ProductLineId, RegionId, IsSales, IsPM, IsUserAdvocate) VALUES ((SELECT ContactId FROM Contact WHERE Name = 'Stefan Sigvardsson'), (SELECT ProductLineId FROM ProductLine WHERE Name = 'ProjectWise i-model Composition Server for i-models'), (SELECT RegionID FROM Region WHERE Name = 'EU1'),1,0,0);</v>
      </c>
    </row>
    <row r="9" spans="3:64" x14ac:dyDescent="0.25">
      <c r="C9" t="str">
        <f>assignmentSQL('Master Table'!C9,'Master Table'!C$1,'Master Table'!$A9,'Master Table'!$B9)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'EU1'),0,1,0);</v>
      </c>
      <c r="D9" t="str">
        <f>assignmentSQL('Master Table'!D9,'Master Table'!D$1,'Master Table'!$A9,'Master Table'!$B9)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'EU1'),0,1,0);</v>
      </c>
      <c r="E9" t="str">
        <f>assignmentSQL('Master Table'!E9,'Master Table'!E$1,'Master Table'!$A9,'Master Table'!$B9)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'EU1'),0,1,0);INSERT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'EU1'),0,1,0);</v>
      </c>
      <c r="F9" t="str">
        <f>assignmentSQL('Master Table'!F9,'Master Table'!F$1,'Master Table'!$A9,'Master Table'!$B9)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'EU1'),0,1,0);</v>
      </c>
      <c r="G9" t="str">
        <f>assignmentSQL('Master Table'!G9,'Master Table'!G$1,'Master Table'!$A9,'Master Table'!$B9)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'EU1'),0,1,0);</v>
      </c>
      <c r="H9" t="str">
        <f>assignmentSQL('Master Table'!H9,'Master Table'!H$1,'Master Table'!$A9,'Master Table'!$B9)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'EU1'),0,1,0);</v>
      </c>
      <c r="I9" t="str">
        <f>assignmentSQL('Master Table'!I9,'Master Table'!I$1,'Master Table'!$A9,'Master Table'!$B9)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'EU1'),0,1,0);</v>
      </c>
      <c r="J9" t="str">
        <f>assignmentSQL('Master Table'!J9,'Master Table'!J$1,'Master Table'!$A9,'Master Table'!$B9)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'EU1'),0,1,0);</v>
      </c>
      <c r="K9" t="str">
        <f>assignmentSQL('Master Table'!K9,'Master Table'!K$1,'Master Table'!$A9,'Master Table'!$B9)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'EU1'),0,1,0);</v>
      </c>
      <c r="L9" t="str">
        <f>assignmentSQL('Master Table'!L9,'Master Table'!L$1,'Master Table'!$A9,'Master Table'!$B9)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'EU1'),0,1,0);</v>
      </c>
      <c r="M9" t="str">
        <f>assignmentSQL('Master Table'!M9,'Master Table'!M$1,'Master Table'!$A9,'Master Table'!$B9)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'EU1'),0,1,0);</v>
      </c>
      <c r="N9" t="str">
        <f>assignmentSQL('Master Table'!N9,'Master Table'!N$1,'Master Table'!$A9,'Master Table'!$B9)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'EU1'),0,1,0);</v>
      </c>
      <c r="O9" t="str">
        <f>assignmentSQL('Master Table'!O9,'Master Table'!O$1,'Master Table'!$A9,'Master Table'!$B9)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'EU1'),0,1,0);</v>
      </c>
      <c r="P9" t="str">
        <f>assignmentSQL('Master Table'!P9,'Master Table'!P$1,'Master Table'!$A9,'Master Table'!$B9)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'EU1'),0,1,0);</v>
      </c>
      <c r="Q9" t="str">
        <f>assignmentSQL('Master Table'!Q9,'Master Table'!Q$1,'Master Table'!$A9,'Master Table'!$B9)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'EU1'),0,1,0);</v>
      </c>
      <c r="R9" t="str">
        <f>assignmentSQL('Master Table'!R9,'Master Table'!R$1,'Master Table'!$A9,'Master Table'!$B9)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'EU1'),0,1,0);</v>
      </c>
      <c r="S9" t="str">
        <f>assignmentSQL('Master Table'!S9,'Master Table'!S$1,'Master Table'!$A9,'Master Table'!$B9)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'EU1'),0,1,0);</v>
      </c>
      <c r="T9" t="str">
        <f>assignmentSQL('Master Table'!T9,'Master Table'!T$1,'Master Table'!$A9,'Master Table'!$B9)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'EU1'),0,1,0);</v>
      </c>
      <c r="U9" t="str">
        <f>assignmentSQL('Master Table'!U9,'Master Table'!U$1,'Master Table'!$A9,'Master Table'!$B9)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'EU1'),0,1,0);</v>
      </c>
      <c r="V9" t="str">
        <f>assignmentSQL('Master Table'!V9,'Master Table'!V$1,'Master Table'!$A9,'Master Table'!$B9)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'EU1'),0,1,0);</v>
      </c>
      <c r="W9" t="str">
        <f>assignmentSQL('Master Table'!W9,'Master Table'!W$1,'Master Table'!$A9,'Master Table'!$B9)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'EU1'),0,1,0);</v>
      </c>
      <c r="X9" t="str">
        <f>assignmentSQL('Master Table'!X9,'Master Table'!X$1,'Master Table'!$A9,'Master Table'!$B9)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'EU1'),0,1,0);</v>
      </c>
      <c r="Y9" t="str">
        <f>assignmentSQL('Master Table'!Y9,'Master Table'!Y$1,'Master Table'!$A9,'Master Table'!$B9)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'EU1'),0,1,0);</v>
      </c>
      <c r="Z9" t="str">
        <f>assignmentSQL('Master Table'!Z9,'Master Table'!Z$1,'Master Table'!$A9,'Master Table'!$B9)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'EU1'),0,1,0);</v>
      </c>
      <c r="AA9" t="str">
        <f>assignmentSQL('Master Table'!AA9,'Master Table'!AA$1,'Master Table'!$A9,'Master Table'!$B9)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'EU1'),0,1,0);</v>
      </c>
      <c r="AB9" t="str">
        <f>assignmentSQL('Master Table'!AB9,'Master Table'!AB$1,'Master Table'!$A9,'Master Table'!$B9)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'EU1'),0,1,0);</v>
      </c>
      <c r="AC9" t="str">
        <f>assignmentSQL('Master Table'!AC9,'Master Table'!AC$1,'Master Table'!$A9,'Master Table'!$B9)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'EU1'),0,1,0);</v>
      </c>
      <c r="AD9" t="str">
        <f>assignmentSQL('Master Table'!AD9,'Master Table'!AD$1,'Master Table'!$A9,'Master Table'!$B9)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'EU1'),0,1,0);</v>
      </c>
      <c r="AE9" t="str">
        <f>assignmentSQL('Master Table'!AE9,'Master Table'!AE$1,'Master Table'!$A9,'Master Table'!$B9)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'EU1'),0,1,0);</v>
      </c>
      <c r="AF9" t="str">
        <f>assignmentSQL('Master Table'!AF9,'Master Table'!AF$1,'Master Table'!$A9,'Master Table'!$B9)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'EU1'),0,1,0);</v>
      </c>
      <c r="AG9" t="str">
        <f>assignmentSQL('Master Table'!AG9,'Master Table'!AG$1,'Master Table'!$A9,'Master Table'!$B9)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'EU1'),0,1,0);</v>
      </c>
      <c r="AH9" t="str">
        <f>assignmentSQL('Master Table'!AH9,'Master Table'!AH$1,'Master Table'!$A9,'Master Table'!$B9)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'EU1'),0,1,0);</v>
      </c>
      <c r="AI9" t="str">
        <f>assignmentSQL('Master Table'!AI9,'Master Table'!AI$1,'Master Table'!$A9,'Master Table'!$B9)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'EU1'),0,1,0);</v>
      </c>
      <c r="AJ9" t="str">
        <f>assignmentSQL('Master Table'!AJ9,'Master Table'!AJ$1,'Master Table'!$A9,'Master Table'!$B9)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'EU1'),0,1,0);</v>
      </c>
      <c r="AK9" t="str">
        <f>assignmentSQL('Master Table'!AK9,'Master Table'!AK$1,'Master Table'!$A9,'Master Table'!$B9)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'EU1'),0,1,0);</v>
      </c>
      <c r="AL9" t="str">
        <f>assignmentSQL('Master Table'!AL9,'Master Table'!AL$1,'Master Table'!$A9,'Master Table'!$B9)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'EU1'),0,1,0);</v>
      </c>
      <c r="AM9" t="str">
        <f>assignmentSQL('Master Table'!AM9,'Master Table'!AM$1,'Master Table'!$A9,'Master Table'!$B9)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'EU1'),0,1,0);</v>
      </c>
      <c r="AN9" t="str">
        <f>assignmentSQL('Master Table'!AN9,'Master Table'!AN$1,'Master Table'!$A9,'Master Table'!$B9)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'EU1'),0,1,0);</v>
      </c>
      <c r="AO9" t="str">
        <f>assignmentSQL('Master Table'!AO9,'Master Table'!AO$1,'Master Table'!$A9,'Master Table'!$B9)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'EU1'),0,1,0);</v>
      </c>
      <c r="AP9" t="str">
        <f>assignmentSQL('Master Table'!AP9,'Master Table'!AP$1,'Master Table'!$A9,'Master Table'!$B9)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'EU1'),0,1,0);</v>
      </c>
      <c r="AQ9" t="str">
        <f>assignmentSQL('Master Table'!AQ9,'Master Table'!AQ$1,'Master Table'!$A9,'Master Table'!$B9)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'EU1'),0,1,0);</v>
      </c>
      <c r="AR9" t="str">
        <f>assignmentSQL('Master Table'!AR9,'Master Table'!AR$1,'Master Table'!$A9,'Master Table'!$B9)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'EU1'),0,1,0);</v>
      </c>
      <c r="AS9" t="str">
        <f>assignmentSQL('Master Table'!AS9,'Master Table'!AS$1,'Master Table'!$A9,'Master Table'!$B9)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'EU1'),0,1,0);</v>
      </c>
      <c r="AT9" t="str">
        <f>assignmentSQL('Master Table'!AT9,'Master Table'!AT$1,'Master Table'!$A9,'Master Table'!$B9)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'EU1'),0,1,0);</v>
      </c>
      <c r="AU9" t="str">
        <f>assignmentSQL('Master Table'!AU9,'Master Table'!AU$1,'Master Table'!$A9,'Master Table'!$B9)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'EU1'),0,1,0);</v>
      </c>
      <c r="AV9" t="str">
        <f>assignmentSQL('Master Table'!AV9,'Master Table'!AV$1,'Master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'EU1'),0,1,0);</v>
      </c>
      <c r="AW9" t="str">
        <f>assignmentSQL('Master Table'!AW9,'Master Table'!AW$1,'Master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'EU1'),0,1,0);</v>
      </c>
      <c r="AX9" t="str">
        <f>assignmentSQL('Master Table'!AX9,'Master Table'!AX$1,'Master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'EU1'),0,1,0);</v>
      </c>
      <c r="AY9" t="str">
        <f>assignmentSQL('Master Table'!AY9,'Master Table'!AY$1,'Master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'EU1'),0,1,0);</v>
      </c>
      <c r="AZ9" t="str">
        <f>assignmentSQL('Master Table'!AZ9,'Master Table'!AZ$1,'Master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'EU1'),0,1,0);</v>
      </c>
      <c r="BA9" t="str">
        <f>assignmentSQL('Master Table'!BA9,'Master Table'!BA$1,'Master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'EU1'),0,1,0);INSERT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'EU1'),0,1,0);</v>
      </c>
      <c r="BB9" t="str">
        <f>assignmentSQL('Master Table'!BB9,'Master Table'!BB$1,'Master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'EU1'),0,1,0);INSERT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'EU1'),0,1,0);</v>
      </c>
      <c r="BC9" t="str">
        <f>assignmentSQL('Master Table'!BC9,'Master Table'!BC$1,'Master Table'!$A9,'Master Table'!$B9)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'EU1'),0,1,0);INSERT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'EU1'),0,1,0);</v>
      </c>
      <c r="BD9" t="str">
        <f>assignmentSQL('Master Table'!BD9,'Master Table'!BD$1,'Master Table'!$A9,'Master Table'!$B9)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'EU1'),0,1,0);</v>
      </c>
      <c r="BE9" t="str">
        <f>assignmentSQL('Master Table'!BE9,'Master Table'!BE$1,'Master Table'!$A9,'Master Table'!$B9)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'EU1'),0,1,0);</v>
      </c>
      <c r="BF9" t="str">
        <f>assignmentSQL('Master Table'!BF9,'Master Table'!BF$1,'Master Table'!$A9,'Master Table'!$B9)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'EU1'),0,1,0);</v>
      </c>
      <c r="BG9" t="str">
        <f>assignmentSQL('Master Table'!BG9,'Master Table'!BG$1,'Master Table'!$A9,'Master Table'!$B9)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'EU1'),0,1,0);</v>
      </c>
      <c r="BH9" t="str">
        <f>assignmentSQL('Master Table'!BH9,'Master Table'!BH$1,'Master Table'!$A9,'Master Table'!$B9)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'EU1'),0,1,0);</v>
      </c>
      <c r="BI9" t="str">
        <f>assignmentSQL('Master Table'!BI9,'Master Table'!BI$1,'Master Table'!$A9,'Master Table'!$B9)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'EU1'),0,1,0);</v>
      </c>
      <c r="BJ9" t="str">
        <f>assignmentSQL('Master Table'!BJ9,'Master Table'!BJ$1,'Master Table'!$A9,'Master Table'!$B9)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'EU1'),0,1,0);</v>
      </c>
      <c r="BK9" t="str">
        <f>assignmentSQL('Master Table'!BK9,'Master Table'!BK$1,'Master Table'!$A9,'Master Table'!$B9)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'EU1'),0,1,0);</v>
      </c>
      <c r="BL9" t="str">
        <f>assignmentSQL('Master Table'!BL9,'Master Table'!BL$1,'Master Table'!$A9,'Master Table'!$B9)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'EU1'),0,1,0);</v>
      </c>
    </row>
    <row r="10" spans="3:64" x14ac:dyDescent="0.25">
      <c r="C10" t="str">
        <f>assignmentSQL('Master Table'!C10,'Master Table'!C$1,'Master Table'!$A10,'Master Table'!$B10)</f>
        <v>INSERT INTO Contact_ProductLine_Map (ContactId, ProductLineId, RegionId, IsSales, IsPM, IsUserAdvocate) VALUES ((SELECT ContactId FROM Contact WHERE Name = 'Badr Ziane'), (SELECT ProductLineId FROM ProductLine WHERE Name = 'STAAD'), (SELECT RegionID FROM Region WHERE Name = 'EU1'),0,0,1);</v>
      </c>
      <c r="D10" t="str">
        <f>assignmentSQL('Master Table'!D10,'Master Table'!D$1,'Master Table'!$A10,'Master Table'!$B10)</f>
        <v>INSERT INTO Contact_ProductLine_Map (ContactId, ProductLineId, RegionId, IsSales, IsPM, IsUserAdvocate) VALUES ((SELECT ContactId FROM Contact WHERE Name = 'Richard Tully'), (SELECT ProductLineId FROM ProductLine WHERE Name = 'RAM'), (SELECT RegionID FROM Region WHERE Name = 'EU1'),0,0,1);</v>
      </c>
      <c r="E10" t="str">
        <f>assignmentSQL('Master Table'!E10,'Master Table'!E$1,'Master Table'!$A10,'Master Table'!$B10)</f>
        <v>INSERT INTO Contact_ProductLine_Map (ContactId, ProductLineId, RegionId, IsSales, IsPM, IsUserAdvocate) VALUES ((SELECT ContactId FROM Contact WHERE Name = 'Phil Senior'), (SELECT ProductLineId FROM ProductLine WHERE Name = 'AUTOPIPE'), (SELECT RegionID FROM Region WHERE Name = 'EU1'),0,0,1);</v>
      </c>
      <c r="F10" t="str">
        <f>assignmentSQL('Master Table'!F10,'Master Table'!F$1,'Master Table'!$A10,'Master Table'!$B10)</f>
        <v>INSERT INTO Contact_ProductLine_Map (ContactId, ProductLineId, RegionId, IsSales, IsPM, IsUserAdvocate) VALUES ((SELECT ContactId FROM Contact WHERE Name = 'Geoff McDonald'), (SELECT ProductLineId FROM ProductLine WHERE Name = 'SACS'), (SELECT RegionID FROM Region WHERE Name = 'EU1'),0,0,1);</v>
      </c>
      <c r="G10" t="str">
        <f>assignmentSQL('Master Table'!G10,'Master Table'!G$1,'Master Table'!$A10,'Master Table'!$B10)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'EU1'),0,0,1);</v>
      </c>
      <c r="H10" t="str">
        <f>assignmentSQL('Master Table'!H10,'Master Table'!H$1,'Master Table'!$A10,'Master Table'!$B10)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'EU1'),0,0,1);</v>
      </c>
      <c r="I10" t="str">
        <f>assignmentSQL('Master Table'!I10,'Master Table'!I$1,'Master Table'!$A10,'Master Table'!$B10)</f>
        <v>INSERT INTO Contact_ProductLine_Map (ContactId, ProductLineId, RegionId, IsSales, IsPM, IsUserAdvocate) VALUES ((SELECT ContactId FROM Contact WHERE Name = 'Diether Wagner'), (SELECT ProductLineId FROM ProductLine WHERE Name = 'RM'), (SELECT RegionID FROM Region WHERE Name = 'EU1'),0,0,1);</v>
      </c>
      <c r="J10" t="str">
        <f>assignmentSQL('Master Table'!J10,'Master Table'!J$1,'Master Table'!$A10,'Master Table'!$B10)</f>
        <v>INSERT INTO Contact_ProductLine_Map (ContactId, ProductLineId, RegionId, IsSales, IsPM, IsUserAdvocate) VALUES ((SELECT ContactId FROM Contact WHERE Name = 'Vinay Mysore'), (SELECT ProductLineId FROM ProductLine WHERE Name = 'LEAP'), (SELECT RegionID FROM Region WHERE Name = 'EU1'),0,0,1);</v>
      </c>
      <c r="K10" t="str">
        <f>assignmentSQL('Master Table'!K10,'Master Table'!K$1,'Master Table'!$A10,'Master Table'!$B10)</f>
        <v>INSERT INTO Contact_ProductLine_Map (ContactId, ProductLineId, RegionId, IsSales, IsPM, IsUserAdvocate) VALUES ((SELECT ContactId FROM Contact WHERE Name = 'Dilip Matange'), (SELECT ProductLineId FROM ProductLine WHERE Name = 'OBM'), (SELECT RegionID FROM Region WHERE Name = 'EU1'),0,0,1);</v>
      </c>
      <c r="L10" t="str">
        <f>assignmentSQL('Master Table'!L10,'Master Table'!L$1,'Master Table'!$A10,'Master Table'!$B10)</f>
        <v>INSERT INTO Contact_ProductLine_Map (ContactId, ProductLineId, RegionId, IsSales, IsPM, IsUserAdvocate) VALUES ((SELECT ContactId FROM Contact WHERE Name = 'Dilip Matange'), (SELECT ProductLineId FROM ProductLine WHERE Name = 'LARS'), (SELECT RegionID FROM Region WHERE Name = 'EU1'),0,0,1);</v>
      </c>
      <c r="M10" t="str">
        <f>assignmentSQL('Master Table'!M10,'Master Table'!M$1,'Master Table'!$A10,'Master Table'!$B10)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'EU1'),0,0,1);</v>
      </c>
      <c r="N10" t="str">
        <f>assignmentSQL('Master Table'!N10,'Master Table'!N$1,'Master Table'!$A10,'Master Table'!$B10)</f>
        <v>INSERT INTO Contact_ProductLine_Map (ContactId, ProductLineId, RegionId, IsSales, IsPM, IsUserAdvocate) VALUES ((SELECT ContactId FROM Contact WHERE Name = 'Susanne Trierscheid'), (SELECT ProductLineId FROM ProductLine WHERE Name = 'AECOsim Building Designer'), (SELECT RegionID FROM Region WHERE Name = 'EU1'),0,0,1);</v>
      </c>
      <c r="O10" t="str">
        <f>assignmentSQL('Master Table'!O10,'Master Table'!O$1,'Master Table'!$A10,'Master Table'!$B10)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'EU1'),0,0,1);</v>
      </c>
      <c r="P10" t="str">
        <f>assignmentSQL('Master Table'!P10,'Master Table'!P$1,'Master Table'!$A10,'Master Table'!$B10)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'EU1'),0,0,1);</v>
      </c>
      <c r="Q10" t="str">
        <f>assignmentSQL('Master Table'!Q10,'Master Table'!Q$1,'Master Table'!$A10,'Master Table'!$B10)</f>
        <v>INSERT INTO Contact_ProductLine_Map (ContactId, ProductLineId, RegionId, IsSales, IsPM, IsUserAdvocate) VALUES ((SELECT ContactId FROM Contact WHERE Name = 'Kuljinder Gill'), (SELECT ProductLineId FROM ProductLine WHERE Name = 'GEOPAK'), (SELECT RegionID FROM Region WHERE Name = 'EU1'),0,0,1);</v>
      </c>
      <c r="R10" t="str">
        <f>assignmentSQL('Master Table'!R10,'Master Table'!R$1,'Master Table'!$A10,'Master Table'!$B10)</f>
        <v>INSERT INTO Contact_ProductLine_Map (ContactId, ProductLineId, RegionId, IsSales, IsPM, IsUserAdvocate) VALUES ((SELECT ContactId FROM Contact WHERE Name = 'Kuljinder Gill'), (SELECT ProductLineId FROM ProductLine WHERE Name = 'InRoads'), (SELECT RegionID FROM Region WHERE Name = 'EU1'),0,0,1);</v>
      </c>
      <c r="S10" t="str">
        <f>assignmentSQL('Master Table'!S10,'Master Table'!S$1,'Master Table'!$A10,'Master Table'!$B10)</f>
        <v>INSERT INTO Contact_ProductLine_Map (ContactId, ProductLineId, RegionId, IsSales, IsPM, IsUserAdvocate) VALUES ((SELECT ContactId FROM Contact WHERE Name = 'Kuljinder Gill'), (SELECT ProductLineId FROM ProductLine WHERE Name = 'MX'), (SELECT RegionID FROM Region WHERE Name = 'EU1'),0,0,1);</v>
      </c>
      <c r="T10" t="str">
        <f>assignmentSQL('Master Table'!T10,'Master Table'!T$1,'Master Table'!$A10,'Master Table'!$B10)</f>
        <v>INSERT INTO Contact_ProductLine_Map (ContactId, ProductLineId, RegionId, IsSales, IsPM, IsUserAdvocate) VALUES ((SELECT ContactId FROM Contact WHERE Name = 'Kuljinder Gill'), (SELECT ProductLineId FROM ProductLine WHERE Name = 'OpenRail'), (SELECT RegionID FROM Region WHERE Name = 'EU1'),0,0,1);</v>
      </c>
      <c r="U10" t="str">
        <f>assignmentSQL('Master Table'!U10,'Master Table'!U$1,'Master Table'!$A10,'Master Table'!$B10)</f>
        <v>INSERT INTO Contact_ProductLine_Map (ContactId, ProductLineId, RegionId, IsSales, IsPM, IsUserAdvocate) VALUES ((SELECT ContactId FROM Contact WHERE Name = 'Kuljinder Gill'), (SELECT ProductLineId FROM ProductLine WHERE Name = 'OpenRoads'), (SELECT RegionID FROM Region WHERE Name = 'EU1'),0,0,1);</v>
      </c>
      <c r="V10" t="str">
        <f>assignmentSQL('Master Table'!V10,'Master Table'!V$1,'Master Table'!$A10,'Master Table'!$B10)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'EU1'),0,0,1);</v>
      </c>
      <c r="W10" t="str">
        <f>assignmentSQL('Master Table'!W10,'Master Table'!W$1,'Master Table'!$A10,'Master Table'!$B10)</f>
        <v>INSERT INTO Contact_ProductLine_Map (ContactId, ProductLineId, RegionId, IsSales, IsPM, IsUserAdvocate) VALUES ((SELECT ContactId FROM Contact WHERE Name = 'Eva Cantarero'), (SELECT ProductLineId FROM ProductLine WHERE Name = 'gINT'), (SELECT RegionID FROM Region WHERE Name = 'EU1'),0,0,1);</v>
      </c>
      <c r="X10" t="str">
        <f>assignmentSQL('Master Table'!X10,'Master Table'!X$1,'Master Table'!$A10,'Master Table'!$B10)</f>
        <v>INSERT INTO Contact_ProductLine_Map (ContactId, ProductLineId, RegionId, IsSales, IsPM, IsUserAdvocate) VALUES ((SELECT ContactId FROM Contact WHERE Name = 'Jaroslaw Sitek'), (SELECT ProductLineId FROM ProductLine WHERE Name = 'AutoPLANT'), (SELECT RegionID FROM Region WHERE Name = 'EU1'),0,0,1);</v>
      </c>
      <c r="Y10" t="str">
        <f>assignmentSQL('Master Table'!Y10,'Master Table'!Y$1,'Master Table'!$A10,'Master Table'!$B10)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'EU1'),0,0,1);</v>
      </c>
      <c r="Z10" t="str">
        <f>assignmentSQL('Master Table'!Z10,'Master Table'!Z$1,'Master Table'!$A10,'Master Table'!$B10)</f>
        <v>INSERT INTO Contact_ProductLine_Map (ContactId, ProductLineId, RegionId, IsSales, IsPM, IsUserAdvocate) VALUES ((SELECT ContactId FROM Contact WHERE Name = 'Jaroslaw Sitek'), (SELECT ProductLineId FROM ProductLine WHERE Name = 'OpenPlant'), (SELECT RegionID FROM Region WHERE Name = 'EU1'),0,0,1);</v>
      </c>
      <c r="AA10" t="str">
        <f>assignmentSQL('Master Table'!AA10,'Master Table'!AA$1,'Master Table'!$A10,'Master Table'!$B10)</f>
        <v>INSERT INTO Contact_ProductLine_Map (ContactId, ProductLineId, RegionId, IsSales, IsPM, IsUserAdvocate) VALUES ((SELECT ContactId FROM Contact WHERE Name = 'Klaus Hatle'), (SELECT ProductLineId FROM ProductLine WHERE Name = 'PlantSpace'), (SELECT RegionID FROM Region WHERE Name = 'EU1'),0,0,1);</v>
      </c>
      <c r="AB10" t="str">
        <f>assignmentSQL('Master Table'!AB10,'Master Table'!AB$1,'Master Table'!$A10,'Master Table'!$B10)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'EU1'),0,0,1);</v>
      </c>
      <c r="AC10" t="str">
        <f>assignmentSQL('Master Table'!AC10,'Master Table'!AC$1,'Master Table'!$A10,'Master Table'!$B10)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'EU1'),0,0,1);</v>
      </c>
      <c r="AD10" t="str">
        <f>assignmentSQL('Master Table'!AD10,'Master Table'!AD$1,'Master Table'!$A10,'Master Table'!$B10)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'EU1'),0,0,1);</v>
      </c>
      <c r="AE10" t="str">
        <f>assignmentSQL('Master Table'!AE10,'Master Table'!AE$1,'Master Table'!$A10,'Master Table'!$B10)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'EU1'),0,0,1);</v>
      </c>
      <c r="AF10" t="str">
        <f>assignmentSQL('Master Table'!AF10,'Master Table'!AF$1,'Master Table'!$A10,'Master Table'!$B10)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'EU1'),0,0,1);</v>
      </c>
      <c r="AG10" t="str">
        <f>assignmentSQL('Master Table'!AG10,'Master Table'!AG$1,'Master Table'!$A10,'Master Table'!$B10)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'EU1'),0,0,1);</v>
      </c>
      <c r="AH10" t="str">
        <f>assignmentSQL('Master Table'!AH10,'Master Table'!AH$1,'Master Table'!$A10,'Master Table'!$B10)</f>
        <v>INSERT INTO Contact_ProductLine_Map (ContactId, ProductLineId, RegionId, IsSales, IsPM, IsUserAdvocate) VALUES ((SELECT ContactId FROM Contact WHERE Name = 'Gernot Jeromin'), (SELECT ProductLineId FROM ProductLine WHERE Name = 'ProStructures'), (SELECT RegionID FROM Region WHERE Name = 'EU1'),0,0,1);</v>
      </c>
      <c r="AI10" t="str">
        <f>assignmentSQL('Master Table'!AI10,'Master Table'!AI$1,'Master Table'!$A10,'Master Table'!$B10)</f>
        <v>INSERT INTO Contact_ProductLine_Map (ContactId, ProductLineId, RegionId, IsSales, IsPM, IsUserAdvocate) VALUES ((SELECT ContactId FROM Contact WHERE Name = 'Andreas Stolpe'), (SELECT ProductLineId FROM ProductLine WHERE Name = 'promis*e'), (SELECT RegionID FROM Region WHERE Name = 'EU1'),0,0,1);</v>
      </c>
      <c r="AJ10" t="str">
        <f>assignmentSQL('Master Table'!AJ10,'Master Table'!AJ$1,'Master Table'!$A10,'Master Table'!$B10)</f>
        <v>INSERT INTO Contact_ProductLine_Map (ContactId, ProductLineId, RegionId, IsSales, IsPM, IsUserAdvocate) VALUES ((SELECT ContactId FROM Contact WHERE Name = 'Ralph Schopen'), (SELECT ProductLineId FROM ProductLine WHERE Name = 'AssetWise'), (SELECT RegionID FROM Region WHERE Name = 'EU1'),0,0,1);</v>
      </c>
      <c r="AK10" t="str">
        <f>assignmentSQL('Master Table'!AK10,'Master Table'!AK$1,'Master Table'!$A10,'Master Table'!$B10)</f>
        <v>INSERT INTO Contact_ProductLine_Map (ContactId, ProductLineId, RegionId, IsSales, IsPM, IsUserAdvocate) VALUES ((SELECT ContactId FROM Contact WHERE Name = 'Harrie van Mullekom'), (SELECT ProductLineId FROM ProductLine WHERE Name = 'AssetWise APM'), (SELECT RegionID FROM Region WHERE Name = 'EU1'),0,0,1);</v>
      </c>
      <c r="AL10" t="str">
        <f>assignmentSQL('Master Table'!AL10,'Master Table'!AL$1,'Master Table'!$A10,'Master Table'!$B10)</f>
        <v>INSERT INTO Contact_ProductLine_Map (ContactId, ProductLineId, RegionId, IsSales, IsPM, IsUserAdvocate) VALUES ((SELECT ContactId FROM Contact WHERE Name = 'Jukka Kivela'), (SELECT ProductLineId FROM ProductLine WHERE Name = 'OpenUtilities'), (SELECT RegionID FROM Region WHERE Name = 'EU1'),0,0,1);</v>
      </c>
      <c r="AM10" t="str">
        <f>assignmentSQL('Master Table'!AM10,'Master Table'!AM$1,'Master Table'!$A10,'Master Table'!$B10)</f>
        <v>INSERT INTO Contact_ProductLine_Map (ContactId, ProductLineId, RegionId, IsSales, IsPM, IsUserAdvocate) VALUES ((SELECT ContactId FROM Contact WHERE Name = 'Johannes Klick'), (SELECT ProductLineId FROM ProductLine WHERE Name = 'Map'), (SELECT RegionID FROM Region WHERE Name = 'EU1'),0,0,1);</v>
      </c>
      <c r="AN10" t="str">
        <f>assignmentSQL('Master Table'!AN10,'Master Table'!AN$1,'Master Table'!$A10,'Master Table'!$B10)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'EU1'),0,0,1);</v>
      </c>
      <c r="AO10" t="str">
        <f>assignmentSQL('Master Table'!AO10,'Master Table'!AO$1,'Master Table'!$A10,'Master Table'!$B10)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'EU1'),0,0,1);</v>
      </c>
      <c r="AP10" t="str">
        <f>assignmentSQL('Master Table'!AP10,'Master Table'!AP$1,'Master Table'!$A10,'Master Table'!$B10)</f>
        <v>INSERT INTO Contact_ProductLine_Map (ContactId, ProductLineId, RegionId, IsSales, IsPM, IsUserAdvocate) VALUES ((SELECT ContactId FROM Contact WHERE Name = 'Kristen Dietrich'), (SELECT ProductLineId FROM ProductLine WHERE Name = 'Haestad'), (SELECT RegionID FROM Region WHERE Name = 'EU1'),0,0,1);</v>
      </c>
      <c r="AQ10" t="str">
        <f>assignmentSQL('Master Table'!AQ10,'Master Table'!AQ$1,'Master Table'!$A10,'Master Table'!$B10)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'EU1'),0,0,1);</v>
      </c>
      <c r="AR10" t="str">
        <f>assignmentSQL('Master Table'!AR10,'Master Table'!AR$1,'Master Table'!$A10,'Master Table'!$B10)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'EU1'),0,0,1);</v>
      </c>
      <c r="AS10" t="str">
        <f>assignmentSQL('Master Table'!AS10,'Master Table'!AS$1,'Master Table'!$A10,'Master Table'!$B10)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'EU1'),0,0,1);</v>
      </c>
      <c r="AT10" t="str">
        <f>assignmentSQL('Master Table'!AT10,'Master Table'!AT$1,'Master Table'!$A10,'Master Table'!$B10)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'EU1'),0,0,1);</v>
      </c>
      <c r="AU10" t="str">
        <f>assignmentSQL('Master Table'!AU10,'Master Table'!AU$1,'Master Table'!$A10,'Master Table'!$B10)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'EU1'),0,0,1);</v>
      </c>
      <c r="AV10" t="str">
        <f>assignmentSQL('Master Table'!AV10,'Master Table'!AV$1,'Master Table'!$A10,'Master Table'!$B10)</f>
        <v>INSERT INTO Contact_ProductLine_Map (ContactId, ProductLineId, RegionId, IsSales, IsPM, IsUserAdvocate) VALUES ((SELECT ContactId FROM Contact WHERE Name = 'Arturas Zidonis'), (SELECT ProductLineId FROM ProductLine WHERE Name = 'ProjectWise Design Integration'), (SELECT RegionID FROM Region WHERE Name = 'EU1'),0,0,1);</v>
      </c>
      <c r="AW10" t="str">
        <f>assignmentSQL('Master Table'!AW10,'Master Table'!AW$1,'Master Table'!$A10,'Master Table'!$B10)</f>
        <v>INSERT INTO Contact_ProductLine_Map (ContactId, ProductLineId, RegionId, IsSales, IsPM, IsUserAdvocate) VALUES ((SELECT ContactId FROM Contact WHERE Name = 'Justinas Verbickas'), (SELECT ProductLineId FROM ProductLine WHERE Name = 'ProjectWise Issues Resolution'), (SELECT RegionID FROM Region WHERE Name = 'EU1'),0,0,1);</v>
      </c>
      <c r="AX10" t="str">
        <f>assignmentSQL('Master Table'!AX10,'Master Table'!AX$1,'Master Table'!$A10,'Master Table'!$B10)</f>
        <v>INSERT INTO Contact_ProductLine_Map (ContactId, ProductLineId, RegionId, IsSales, IsPM, IsUserAdvocate) VALUES ((SELECT ContactId FROM Contact WHERE Name = 'Arturas Zidonis'), (SELECT ProductLineId FROM ProductLine WHERE Name = 'ProjectWise Explorer Civil 3D Integration Module'), (SELECT RegionID FROM Region WHERE Name = 'EU1'),0,0,1);</v>
      </c>
      <c r="AY10" t="str">
        <f>assignmentSQL('Master Table'!AY10,'Master Table'!AY$1,'Master Table'!$A10,'Master Table'!$B10)</f>
        <v>INSERT INTO Contact_ProductLine_Map (ContactId, ProductLineId, RegionId, IsSales, IsPM, IsUserAdvocate) VALUES ((SELECT ContactId FROM Contact WHERE Name = 'Arturas Zidonis'), (SELECT ProductLineId FROM ProductLine WHERE Name = 'ProjectWise Explorer Revit Integration Module'), (SELECT RegionID FROM Region WHERE Name = 'EU1'),0,0,1);</v>
      </c>
      <c r="AZ10" t="str">
        <f>assignmentSQL('Master Table'!AZ10,'Master Table'!AZ$1,'Master Table'!$A10,'Master Table'!$B10)</f>
        <v>INSERT INTO Contact_ProductLine_Map (ContactId, ProductLineId, RegionId, IsSales, IsPM, IsUserAdvocate) VALUES ((SELECT ContactId FROM Contact WHERE Name = 'Arturas Zidonis'), (SELECT ProductLineId FROM ProductLine WHERE Name = 'ProjectWise Explorer Office Integration Module'), (SELECT RegionID FROM Region WHERE Name = 'EU1'),0,0,1);</v>
      </c>
      <c r="BA10" t="str">
        <f>assignmentSQL('Master Table'!BA10,'Master Table'!BA$1,'Master Table'!$A10,'Master Table'!$B10)</f>
        <v>INSERT INTO Contact_ProductLine_Map (ContactId, ProductLineId, RegionId, IsSales, IsPM, IsUserAdvocate) VALUES ((SELECT ContactId FROM Contact WHERE Name = 'Justinas Verbickas'), (SELECT ProductLineId FROM ProductLine WHERE Name = 'ProjectWise Edge Mobile'), (SELECT RegionID FROM Region WHERE Name = 'EU1'),0,0,1);</v>
      </c>
      <c r="BB10" t="str">
        <f>assignmentSQL('Master Table'!BB10,'Master Table'!BB$1,'Master Table'!$A10,'Master Table'!$B10)</f>
        <v>INSERT INTO Contact_ProductLine_Map (ContactId, ProductLineId, RegionId, IsSales, IsPM, IsUserAdvocate) VALUES ((SELECT ContactId FROM Contact WHERE Name = 'Justinas Verbickas'), (SELECT ProductLineId FROM ProductLine WHERE Name = 'ProjectWise WorkSite'), (SELECT RegionID FROM Region WHERE Name = 'EU1'),0,0,1);</v>
      </c>
      <c r="BC10" t="str">
        <f>assignmentSQL('Master Table'!BC10,'Master Table'!BC$1,'Master Table'!$A10,'Master Table'!$B10)</f>
        <v>INSERT INTO Contact_ProductLine_Map (ContactId, ProductLineId, RegionId, IsSales, IsPM, IsUserAdvocate) VALUES ((SELECT ContactId FROM Contact WHERE Name = 'Justinas Verbickas'), (SELECT ProductLineId FROM ProductLine WHERE Name = 'ProjectWise Edge'), (SELECT RegionID FROM Region WHERE Name = 'EU1'),0,0,1);</v>
      </c>
      <c r="BD10" t="str">
        <f>assignmentSQL('Master Table'!BD10,'Master Table'!BD$1,'Master Table'!$A10,'Master Table'!$B10)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'EU1'),0,0,1);</v>
      </c>
      <c r="BE10" t="str">
        <f>assignmentSQL('Master Table'!BE10,'Master Table'!BE$1,'Master Table'!$A10,'Master Table'!$B10)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'EU1'),0,0,1);</v>
      </c>
      <c r="BF10" t="str">
        <f>assignmentSQL('Master Table'!BF10,'Master Table'!BF$1,'Master Table'!$A10,'Master Table'!$B10)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'EU1'),0,0,1);</v>
      </c>
      <c r="BG10" t="str">
        <f>assignmentSQL('Master Table'!BG10,'Master Table'!BG$1,'Master Table'!$A10,'Master Table'!$B10)</f>
        <v>INSERT INTO Contact_ProductLine_Map (ContactId, ProductLineId, RegionId, IsSales, IsPM, IsUserAdvocate) VALUES ((SELECT ContactId FROM Contact WHERE Name = 'Arturas Baranauskas'), (SELECT ProductLineId FROM ProductLine WHERE Name = 'Deliverables Management'), (SELECT RegionID FROM Region WHERE Name = 'EU1'),0,0,1);</v>
      </c>
      <c r="BH10" t="str">
        <f>assignmentSQL('Master Table'!BH10,'Master Table'!BH$1,'Master Table'!$A10,'Master Table'!$B10)</f>
        <v>INSERT INTO Contact_ProductLine_Map (ContactId, ProductLineId, RegionId, IsSales, IsPM, IsUserAdvocate) VALUES ((SELECT ContactId FROM Contact WHERE Name = 'Arturas Baranauskas'), (SELECT ProductLineId FROM ProductLine WHERE Name = 'Bentley Automation Service CONNECT Edition'), (SELECT RegionID FROM Region WHERE Name = 'EU1'),0,0,1);</v>
      </c>
      <c r="BI10" t="str">
        <f>assignmentSQL('Master Table'!BI10,'Master Table'!BI$1,'Master Table'!$A10,'Master Table'!$B10)</f>
        <v>INSERT INTO Contact_ProductLine_Map (ContactId, ProductLineId, RegionId, IsSales, IsPM, IsUserAdvocate) VALUES ((SELECT ContactId FROM Contact WHERE Name = 'Justinas Verbickas'), (SELECT ProductLineId FROM ProductLine WHERE Name = 'ProjectWise "Field Data Management'), (SELECT RegionID FROM Region WHERE Name = 'EU1'),0,0,1);</v>
      </c>
      <c r="BJ10" t="str">
        <f>assignmentSQL('Master Table'!BJ10,'Master Table'!BJ$1,'Master Table'!$A10,'Master Table'!$B10)</f>
        <v>INSERT INTO Contact_ProductLine_Map (ContactId, ProductLineId, RegionId, IsSales, IsPM, IsUserAdvocate) VALUES ((SELECT ContactId FROM Contact WHERE Name = 'Arturas Zidonis'), (SELECT ProductLineId FROM ProductLine WHERE Name = 'ProjectWise i-model Composition Server for PDF'), (SELECT RegionID FROM Region WHERE Name = 'EU1'),0,0,1);</v>
      </c>
      <c r="BK10" t="str">
        <f>assignmentSQL('Master Table'!BK10,'Master Table'!BK$1,'Master Table'!$A10,'Master Table'!$B10)</f>
        <v>INSERT INTO Contact_ProductLine_Map (ContactId, ProductLineId, RegionId, IsSales, IsPM, IsUserAdvocate) VALUES ((SELECT ContactId FROM Contact WHERE Name = 'Evert de Jong'), (SELECT ProductLineId FROM ProductLine WHERE Name = 'ProjectWise InterPlot Server and Interplot Organizer'), (SELECT RegionID FROM Region WHERE Name = 'EU1'),0,0,1);</v>
      </c>
      <c r="BL10" t="str">
        <f>assignmentSQL('Master Table'!BL10,'Master Table'!BL$1,'Master Table'!$A10,'Master Table'!$B10)</f>
        <v>INSERT INTO Contact_ProductLine_Map (ContactId, ProductLineId, RegionId, IsSales, IsPM, IsUserAdvocate) VALUES ((SELECT ContactId FROM Contact WHERE Name = 'Evert de Jong'), (SELECT ProductLineId FROM ProductLine WHERE Name = 'ProjectWise i-model Composition Server for i-models'), (SELECT RegionID FROM Region WHERE Name = 'EU1'),0,0,1);</v>
      </c>
    </row>
    <row r="11" spans="3:64" x14ac:dyDescent="0.25">
      <c r="C11" t="str">
        <f>assignmentSQL('Master Table'!C11,'Master Table'!C$1,'Master Table'!$A11,'Master Table'!$B11)</f>
        <v>INSERT INTO Contact_ProductLine_Map (ContactId, ProductLineId, RegionId, IsSales, IsPM, IsUserAdvocate) VALUES ((SELECT ContactId FROM Contact WHERE Name = 'Pradip Maity'), (SELECT ProductLineId FROM ProductLine WHERE Name = 'STAAD'), (SELECT RegionID FROM Region WHERE Name = 'India'),1,0,0);</v>
      </c>
      <c r="D11" t="str">
        <f>assignmentSQL('Master Table'!D11,'Master Table'!D$1,'Master Table'!$A11,'Master Table'!$B11)</f>
        <v>INSERT INTO Contact_ProductLine_Map (ContactId, ProductLineId, RegionId, IsSales, IsPM, IsUserAdvocate) VALUES ((SELECT ContactId FROM Contact WHERE Name = 'Pradip Maity'), (SELECT ProductLineId FROM ProductLine WHERE Name = 'RAM'), (SELECT RegionID FROM Region WHERE Name = 'India'),1,0,0);</v>
      </c>
      <c r="E11" t="str">
        <f>assignmentSQL('Master Table'!E11,'Master Table'!E$1,'Master Table'!$A11,'Master Table'!$B11)</f>
        <v>INSERT INTO Contact_ProductLine_Map (ContactId, ProductLineId, RegionId, IsSales, IsPM, IsUserAdvocate) VALUES ((SELECT ContactId FROM Contact WHERE Name = 'Pradip Maity'), (SELECT ProductLineId FROM ProductLine WHERE Name = 'AUTOPIPE'), (SELECT RegionID FROM Region WHERE Name = 'India'),1,0,0);</v>
      </c>
      <c r="F11" t="str">
        <f>assignmentSQL('Master Table'!F11,'Master Table'!F$1,'Master Table'!$A11,'Master Table'!$B11)</f>
        <v>INSERT INTO Contact_ProductLine_Map (ContactId, ProductLineId, RegionId, IsSales, IsPM, IsUserAdvocate) VALUES ((SELECT ContactId FROM Contact WHERE Name = 'Pradip Maity'), (SELECT ProductLineId FROM ProductLine WHERE Name = 'SACS'), (SELECT RegionID FROM Region WHERE Name = 'India'),1,0,0);</v>
      </c>
      <c r="G11" t="str">
        <f>assignmentSQL('Master Table'!G11,'Master Table'!G$1,'Master Table'!$A11,'Master Table'!$B11)</f>
        <v>INSERT INTO Contact_ProductLine_Map (ContactId, ProductLineId, RegionId, IsSales, IsPM, IsUserAdvocate) VALUES ((SELECT ContactId FROM Contact WHERE Name = 'Pradip Maity'), (SELECT ProductLineId FROM ProductLine WHERE Name = 'MAXSURF'), (SELECT RegionID FROM Region WHERE Name = 'India'),1,0,0);</v>
      </c>
      <c r="H11" t="str">
        <f>assignmentSQL('Master Table'!H11,'Master Table'!H$1,'Master Table'!$A11,'Master Table'!$B11)</f>
        <v>INSERT INTO Contact_ProductLine_Map (ContactId, ProductLineId, RegionId, IsSales, IsPM, IsUserAdvocate) VALUES ((SELECT ContactId FROM Contact WHERE Name = 'Pradip Maity'), (SELECT ProductLineId FROM ProductLine WHERE Name = 'MOSES'), (SELECT RegionID FROM Region WHERE Name = 'India'),1,0,0);</v>
      </c>
      <c r="I11" t="str">
        <f>assignmentSQL('Master Table'!I11,'Master Table'!I$1,'Master Table'!$A11,'Master Table'!$B11)</f>
        <v/>
      </c>
      <c r="J11" t="str">
        <f>assignmentSQL('Master Table'!J11,'Master Table'!J$1,'Master Table'!$A11,'Master Table'!$B11)</f>
        <v/>
      </c>
      <c r="K11" t="str">
        <f>assignmentSQL('Master Table'!K11,'Master Table'!K$1,'Master Table'!$A11,'Master Table'!$B11)</f>
        <v/>
      </c>
      <c r="L11" t="str">
        <f>assignmentSQL('Master Table'!L11,'Master Table'!L$1,'Master Table'!$A11,'Master Table'!$B11)</f>
        <v/>
      </c>
      <c r="M11" t="str">
        <f>assignmentSQL('Master Table'!M11,'Master Table'!M$1,'Master Table'!$A11,'Master Table'!$B11)</f>
        <v/>
      </c>
      <c r="N11" t="str">
        <f>assignmentSQL('Master Table'!N11,'Master Table'!N$1,'Master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'AECOsim Building Designer'), (SELECT RegionID FROM Region WHERE Name = 'India'),1,0,0);INSERT INTO Contact_ProductLine_Map (ContactId, ProductLineId, RegionId, IsSales, IsPM, IsUserAdvocate) VALUES ((SELECT ContactId FROM Contact WHERE Name = 'Jagadeesh Thiyagarajan'), (SELECT ProductLineId FROM ProductLine WHERE Name = 'AECOsim Building Designer'), (SELECT RegionID FROM Region WHERE Name = 'India'),1,0,0);</v>
      </c>
      <c r="O11" t="str">
        <f>assignmentSQL('Master Table'!O11,'Master Table'!O$1,'Master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'speedikon'), (SELECT RegionID FROM Region WHERE Name = 'India'),1,0,0);INSERT INTO Contact_ProductLine_Map (ContactId, ProductLineId, RegionId, IsSales, IsPM, IsUserAdvocate) VALUES ((SELECT ContactId FROM Contact WHERE Name = 'Jagadeesh Thiyagarajan'), (SELECT ProductLineId FROM ProductLine WHERE Name = 'speedikon'), (SELECT RegionID FROM Region WHERE Name = 'India'),1,0,0);</v>
      </c>
      <c r="P11" t="str">
        <f>assignmentSQL('Master Table'!P11,'Master Table'!P$1,'Master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'Hevacomp'), (SELECT RegionID FROM Region WHERE Name = 'India'),1,0,0);INSERT INTO Contact_ProductLine_Map (ContactId, ProductLineId, RegionId, IsSales, IsPM, IsUserAdvocate) VALUES ((SELECT ContactId FROM Contact WHERE Name = 'Jagadeesh Thiyagarajan'), (SELECT ProductLineId FROM ProductLine WHERE Name = 'Hevacomp'), (SELECT RegionID FROM Region WHERE Name = 'India'),1,0,0);</v>
      </c>
      <c r="Q11" t="str">
        <f>assignmentSQL('Master Table'!Q11,'Master Table'!Q$1,'Master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'GEOPAK'), (SELECT RegionID FROM Region WHERE Name = 'India'),1,0,0);INSERT INTO Contact_ProductLine_Map (ContactId, ProductLineId, RegionId, IsSales, IsPM, IsUserAdvocate) VALUES ((SELECT ContactId FROM Contact WHERE Name = 'Jagadeesh Thiyagarajan'), (SELECT ProductLineId FROM ProductLine WHERE Name = 'GEOPAK'), (SELECT RegionID FROM Region WHERE Name = 'India'),1,0,0);</v>
      </c>
      <c r="R11" t="str">
        <f>assignmentSQL('Master Table'!R11,'Master Table'!R$1,'Master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'InRoads'),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'InRoads'), (SELECT RegionID FROM Region WHERE Name = 'India'),1,0,0);</v>
      </c>
      <c r="S11" t="str">
        <f>assignmentSQL('Master Table'!S11,'Master Table'!S$1,'Master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'MX'),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'MX'), (SELECT RegionID FROM Region WHERE Name = 'India'),1,0,0);</v>
      </c>
      <c r="T11" t="str">
        <f>assignmentSQL('Master Table'!T11,'Master Table'!T$1,'Master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'OpenRail'),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'OpenRail'), (SELECT RegionID FROM Region WHERE Name = 'India'),1,0,0);</v>
      </c>
      <c r="U11" t="str">
        <f>assignmentSQL('Master Table'!U11,'Master Table'!U$1,'Master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'OpenRoads'),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'OpenRoads'), (SELECT RegionID FROM Region WHERE Name = 'India'),1,0,0);</v>
      </c>
      <c r="V11" t="str">
        <f>assignmentSQL('Master Table'!V11,'Master Table'!V$1,'Master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'ConceptStation'),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'ConceptStation'), (SELECT RegionID FROM Region WHERE Name = 'India'),1,0,0);</v>
      </c>
      <c r="W11" t="str">
        <f>assignmentSQL('Master Table'!W11,'Master Table'!W$1,'Master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'gINT'),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'gINT'), (SELECT RegionID FROM Region WHERE Name = 'India'),1,0,0);</v>
      </c>
      <c r="X11" t="str">
        <f>assignmentSQL('Master Table'!X11,'Master Table'!X$1,'Master Table'!$A11,'Master Table'!$B11)</f>
        <v>INSERT INTO Contact_ProductLine_Map (ContactId, ProductLineId, RegionId, IsSales, IsPM, IsUserAdvocate) VALUES ((SELECT ContactId FROM Contact WHERE Name = 'Hrayr Daghlian'), (SELECT ProductLineId FROM ProductLine WHERE Name = 'AutoPLANT'), (SELECT RegionID FROM Region WHERE Name = 'India'),1,0,0);</v>
      </c>
      <c r="Y11" t="str">
        <f>assignmentSQL('Master Table'!Y11,'Master Table'!Y$1,'Master Table'!$A11,'Master Table'!$B11)</f>
        <v>INSERT INTO Contact_ProductLine_Map (ContactId, ProductLineId, RegionId, IsSales, IsPM, IsUserAdvocate) VALUES ((SELECT ContactId FROM Contact WHERE Name = 'Hrayr Daghlian'), (SELECT ProductLineId FROM ProductLine WHERE Name = 'AXSYS'), (SELECT RegionID FROM Region WHERE Name = 'India'),1,0,0);</v>
      </c>
      <c r="Z11" t="str">
        <f>assignmentSQL('Master Table'!Z11,'Master Table'!Z$1,'Master Table'!$A11,'Master Table'!$B11)</f>
        <v>INSERT INTO Contact_ProductLine_Map (ContactId, ProductLineId, RegionId, IsSales, IsPM, IsUserAdvocate) VALUES ((SELECT ContactId FROM Contact WHERE Name = 'Hrayr Daghlian'), (SELECT ProductLineId FROM ProductLine WHERE Name = 'OpenPlant'), (SELECT RegionID FROM Region WHERE Name = 'India'),1,0,0);</v>
      </c>
      <c r="AA11" t="str">
        <f>assignmentSQL('Master Table'!AA11,'Master Table'!AA$1,'Master Table'!$A11,'Master Table'!$B11)</f>
        <v>INSERT INTO Contact_ProductLine_Map (ContactId, ProductLineId, RegionId, IsSales, IsPM, IsUserAdvocate) VALUES ((SELECT ContactId FROM Contact WHERE Name = 'Hrayr Daghlian'), (SELECT ProductLineId FROM ProductLine WHERE Name = 'PlantSpace'), (SELECT RegionID FROM Region WHERE Name = 'India'),1,0,0);</v>
      </c>
      <c r="AB11" t="str">
        <f>assignmentSQL('Master Table'!AB11,'Master Table'!AB$1,'Master Table'!$A11,'Master Table'!$B11)</f>
        <v>INSERT INTO Contact_ProductLine_Map (ContactId, ProductLineId, RegionId, IsSales, IsPM, IsUserAdvocate) VALUES ((SELECT ContactId FROM Contact WHERE Name = 'Hrayr Daghlian'), (SELECT ProductLineId FROM ProductLine WHERE Name = 'MineCycle'), (SELECT RegionID FROM Region WHERE Name = 'India'),1,0,0);</v>
      </c>
      <c r="AC11" t="str">
        <f>assignmentSQL('Master Table'!AC11,'Master Table'!AC$1,'Master Table'!$A11,'Master Table'!$B11)</f>
        <v>INSERT INTO Contact_ProductLine_Map (ContactId, ProductLineId, RegionId, IsSales, IsPM, IsUserAdvocate) VALUES ((SELECT ContactId FROM Contact WHERE Name = 'Hrayr Daghlian'), (SELECT ProductLineId FROM ProductLine WHERE Name = 'Plantwise'), (SELECT RegionID FROM Region WHERE Name = 'India'),1,0,0);</v>
      </c>
      <c r="AD11" t="str">
        <f>assignmentSQL('Master Table'!AD11,'Master Table'!AD$1,'Master Table'!$A11,'Master Table'!$B11)</f>
        <v>INSERT INTO Contact_ProductLine_Map (ContactId, ProductLineId, RegionId, IsSales, IsPM, IsUserAdvocate) VALUES ((SELECT ContactId FROM Contact WHERE Name = 'Jagadeesh Thiyagarajan'), (SELECT ProductLineId FROM ProductLine WHERE Name = 'Pointools'),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'Pointools'), (SELECT RegionID FROM Region WHERE Name = 'India'),1,0,0);INSERT INTO Contact_ProductLine_Map (ContactId, ProductLineId, RegionId, IsSales, IsPM, IsUserAdvocate) VALUES ((SELECT ContactId FROM Contact WHERE Name = 'Ali Gondal'), (SELECT ProductLineId FROM ProductLine WHERE Name = 'Pointools'), (SELECT RegionID FROM Region WHERE Name = 'India'),1,0,0);</v>
      </c>
      <c r="AE11" t="str">
        <f>assignmentSQL('Master Table'!AE11,'Master Table'!AE$1,'Master Table'!$A11,'Master Table'!$B11)</f>
        <v>INSERT INTO Contact_ProductLine_Map (ContactId, ProductLineId, RegionId, IsSales, IsPM, IsUserAdvocate) VALUES ((SELECT ContactId FROM Contact WHERE Name = 'Jagadeesh Thiyagarajan'), (SELECT ProductLineId FROM ProductLine WHERE Name = 'LumenRT'),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'LumenRT'), (SELECT RegionID FROM Region WHERE Name = 'India'),1,0,0);INSERT INTO Contact_ProductLine_Map (ContactId, ProductLineId, RegionId, IsSales, IsPM, IsUserAdvocate) VALUES ((SELECT ContactId FROM Contact WHERE Name = 'Ali Gondal'), (SELECT ProductLineId FROM ProductLine WHERE Name = 'LumenRT'), (SELECT RegionID FROM Region WHERE Name = 'India'),1,0,0);</v>
      </c>
      <c r="AF11" t="str">
        <f>assignmentSQL('Master Table'!AF11,'Master Table'!AF$1,'Master Table'!$A11,'Master Table'!$B11)</f>
        <v>INSERT INTO Contact_ProductLine_Map (ContactId, ProductLineId, RegionId, IsSales, IsPM, IsUserAdvocate) VALUES ((SELECT ContactId FROM Contact WHERE Name = 'Jagadeesh Thiyagarajan'), (SELECT ProductLineId FROM ProductLine WHERE Name = 'ContextCapture'),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'ContextCapture'), (SELECT RegionID FROM Region WHERE Name = 'India'),1,0,0);INSERT INTO Contact_ProductLine_Map (ContactId, ProductLineId, RegionId, IsSales, IsPM, IsUserAdvocate) VALUES ((SELECT ContactId FROM Contact WHERE Name = 'Ali Gondal'), (SELECT ProductLineId FROM ProductLine WHERE Name = 'ContextCapture'), (SELECT RegionID FROM Region WHERE Name = 'India'),1,0,0);</v>
      </c>
      <c r="AG11" t="str">
        <f>assignmentSQL('Master Table'!AG11,'Master Table'!AG$1,'Master Table'!$A11,'Master Table'!$B11)</f>
        <v>INSERT INTO Contact_ProductLine_Map (ContactId, ProductLineId, RegionId, IsSales, IsPM, IsUserAdvocate) VALUES ((SELECT ContactId FROM Contact WHERE Name = 'Jagadeesh Thiyagarajan'), (SELECT ProductLineId FROM ProductLine WHERE Name = 'Descartes'), (SELECT RegionID FROM Region WHERE Name = 'India'),1,0,0);INSERT INTO Contact_ProductLine_Map (ContactId, ProductLineId, RegionId, IsSales, IsPM, IsUserAdvocate) VALUES ((SELECT ContactId FROM Contact WHERE Name = 'Priyanka Shori'), (SELECT ProductLineId FROM ProductLine WHERE Name = 'Descartes'), (SELECT RegionID FROM Region WHERE Name = 'India'),1,0,0);INSERT INTO Contact_ProductLine_Map (ContactId, ProductLineId, RegionId, IsSales, IsPM, IsUserAdvocate) VALUES ((SELECT ContactId FROM Contact WHERE Name = 'Ali Gondal'), (SELECT ProductLineId FROM ProductLine WHERE Name = 'Descartes'), (SELECT RegionID FROM Region WHERE Name = 'India'),1,0,0);</v>
      </c>
      <c r="AH11" t="str">
        <f>assignmentSQL('Master Table'!AH11,'Master Table'!AH$1,'Master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'ProStructures'), (SELECT RegionID FROM Region WHERE Name = 'India'),1,0,0);INSERT INTO Contact_ProductLine_Map (ContactId, ProductLineId, RegionId, IsSales, IsPM, IsUserAdvocate) VALUES ((SELECT ContactId FROM Contact WHERE Name = 'Jagadeesh Thiyagarajan'), (SELECT ProductLineId FROM ProductLine WHERE Name = 'ProStructures'), (SELECT RegionID FROM Region WHERE Name = 'India'),1,0,0);</v>
      </c>
      <c r="AI11" t="str">
        <f>assignmentSQL('Master Table'!AI11,'Master Table'!AI$1,'Master Table'!$A11,'Master Table'!$B11)</f>
        <v>INSERT INTO Contact_ProductLine_Map (ContactId, ProductLineId, RegionId, IsSales, IsPM, IsUserAdvocate) VALUES ((SELECT ContactId FROM Contact WHERE Name = 'Ali Gondal'), (SELECT ProductLineId FROM ProductLine WHERE Name = 'promis*e'), (SELECT RegionID FROM Region WHERE Name = 'India'),1,0,0);INSERT INTO Contact_ProductLine_Map (ContactId, ProductLineId, RegionId, IsSales, IsPM, IsUserAdvocate) VALUES ((SELECT ContactId FROM Contact WHERE Name = 'Jagadeesh Thiyagarajan'), (SELECT ProductLineId FROM ProductLine WHERE Name = 'promis*e'), (SELECT RegionID FROM Region WHERE Name = 'India'),1,0,0);</v>
      </c>
      <c r="AJ11" t="str">
        <f>assignmentSQL('Master Table'!AJ11,'Master Table'!AJ$1,'Master Table'!$A11,'Master Table'!$B11)</f>
        <v>INSERT INTO Contact_ProductLine_Map (ContactId, ProductLineId, RegionId, IsSales, IsPM, IsUserAdvocate) VALUES ((SELECT ContactId FROM Contact WHERE Name = 'Freek Verhoef'), (SELECT ProductLineId FROM ProductLine WHERE Name = 'AssetWise'), (SELECT RegionID FROM Region WHERE Name = 'India'),1,0,0);</v>
      </c>
      <c r="AK11" t="str">
        <f>assignmentSQL('Master Table'!AK11,'Master Table'!AK$1,'Master Table'!$A11,'Master Table'!$B11)</f>
        <v>INSERT INTO Contact_ProductLine_Map (ContactId, ProductLineId, RegionId, IsSales, IsPM, IsUserAdvocate) VALUES ((SELECT ContactId FROM Contact WHERE Name = 'Uma Umakhanthan'), (SELECT ProductLineId FROM ProductLine WHERE Name = 'AssetWise APM'), (SELECT RegionID FROM Region WHERE Name = 'India'),1,0,0);</v>
      </c>
      <c r="AL11" t="str">
        <f>assignmentSQL('Master Table'!AL11,'Master Table'!AL$1,'Master Table'!$A11,'Master Table'!$B11)</f>
        <v>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'India'),1,0,0);INSERT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'India'),1,0,0);</v>
      </c>
      <c r="AM11" t="str">
        <f>assignmentSQL('Master Table'!AM11,'Master Table'!AM$1,'Master Table'!$A11,'Master Table'!$B11)</f>
        <v>INSERT INTO Contact_ProductLine_Map (ContactId, ProductLineId, RegionId, IsSales, IsPM, IsUserAdvocate) VALUES ((SELECT ContactId FROM Contact WHERE Name = 'Gaurav Malik'), (SELECT ProductLineId FROM ProductLine WHERE Name = 'Map'), (SELECT RegionID FROM Region WHERE Name = 'India'),1,0,0);INSERT INTO Contact_ProductLine_Map (ContactId, ProductLineId, RegionId, IsSales, IsPM, IsUserAdvocate) VALUES ((SELECT ContactId FROM Contact WHERE Name = 'Suneet Manjavkar'), (SELECT ProductLineId FROM ProductLine WHERE Name = 'Map'), (SELECT RegionID FROM Region WHERE Name = 'India'),1,0,0);</v>
      </c>
      <c r="AN11" t="str">
        <f>assignmentSQL('Master Table'!AN11,'Master Table'!AN$1,'Master Table'!$A11,'Master Table'!$B11)</f>
        <v>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'India'),1,0,0);INSERT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'India'),1,0,0);</v>
      </c>
      <c r="AO11" t="str">
        <f>assignmentSQL('Master Table'!AO11,'Master Table'!AO$1,'Master Table'!$A11,'Master Table'!$B11)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'India'),1,0,0);INSERT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'India'),1,0,0);</v>
      </c>
      <c r="AP11" t="str">
        <f>assignmentSQL('Master Table'!AP11,'Master Table'!AP$1,'Master Table'!$A11,'Master Table'!$B11)</f>
        <v>INSERT INTO Contact_ProductLine_Map (ContactId, ProductLineId, RegionId, IsSales, IsPM, IsUserAdvocate) VALUES ((SELECT ContactId FROM Contact WHERE Name = 'Gaurav Malik'), (SELECT ProductLineId FROM ProductLine WHERE Name = 'Haestad'), (SELECT RegionID FROM Region WHERE Name = 'India'),1,0,0);INSERT INTO Contact_ProductLine_Map (ContactId, ProductLineId, RegionId, IsSales, IsPM, IsUserAdvocate) VALUES ((SELECT ContactId FROM Contact WHERE Name = 'Suneet Manjavkar'), (SELECT ProductLineId FROM ProductLine WHERE Name = 'Haestad'), (SELECT RegionID FROM Region WHERE Name = 'India'),1,0,0);</v>
      </c>
      <c r="AQ11" t="str">
        <f>assignmentSQL('Master Table'!AQ11,'Master Table'!AQ$1,'Master Table'!$A11,'Master Table'!$B11)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'India'),1,0,0);INSERT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'India'),1,0,0);</v>
      </c>
      <c r="AR11" t="str">
        <f>assignmentSQL('Master Table'!AR11,'Master Table'!AR$1,'Master Table'!$A11,'Master Table'!$B11)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'India'),1,0,0);</v>
      </c>
      <c r="AS11" t="str">
        <f>assignmentSQL('Master Table'!AS11,'Master Table'!AS$1,'Master Table'!$A11,'Master Table'!$B11)</f>
        <v>INSERT INTO Contact_ProductLine_Map (ContactId, ProductLineId, RegionId, IsSales, IsPM, IsUserAdvocate) VALUES ((SELECT ContactId FROM Contact WHERE Name = 'Uma Umakhanthan'), (SELECT ProductLineId FROM ProductLine WHERE Name = 'Amulet'), (SELECT RegionID FROM Region WHERE Name = 'India'),1,0,0);</v>
      </c>
      <c r="AT11" t="str">
        <f>assignmentSQL('Master Table'!AT11,'Master Table'!AT$1,'Master Table'!$A11,'Master Table'!$B11)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'India'),1,0,0);</v>
      </c>
      <c r="AU11" t="str">
        <f>assignmentSQL('Master Table'!AU11,'Master Table'!AU$1,'Master Table'!$A11,'Master Table'!$B11)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'India'),1,0,0);</v>
      </c>
      <c r="AV11" t="str">
        <f>assignmentSQL('Master Table'!AV11,'Master Table'!AV$1,'Master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Design Integration'), (SELECT RegionID FROM Region WHERE Name = 'India'),1,0,0);</v>
      </c>
      <c r="AW11" t="str">
        <f>assignmentSQL('Master Table'!AW11,'Master Table'!AW$1,'Master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Issues Resolution'), (SELECT RegionID FROM Region WHERE Name = 'India'),1,0,0);</v>
      </c>
      <c r="AX11" t="str">
        <f>assignmentSQL('Master Table'!AX11,'Master Table'!AX$1,'Master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Explorer Civil 3D Integration Module'), (SELECT RegionID FROM Region WHERE Name = 'India'),1,0,0);</v>
      </c>
      <c r="AY11" t="str">
        <f>assignmentSQL('Master Table'!AY11,'Master Table'!AY$1,'Master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Explorer Revit Integration Module'), (SELECT RegionID FROM Region WHERE Name = 'India'),1,0,0);</v>
      </c>
      <c r="AZ11" t="str">
        <f>assignmentSQL('Master Table'!AZ11,'Master Table'!AZ$1,'Master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Explorer Office Integration Module'), (SELECT RegionID FROM Region WHERE Name = 'India'),1,0,0);</v>
      </c>
      <c r="BA11" t="str">
        <f>assignmentSQL('Master Table'!BA11,'Master Table'!BA$1,'Master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Edge Mobile'), (SELECT RegionID FROM Region WHERE Name = 'India'),1,0,0);</v>
      </c>
      <c r="BB11" t="str">
        <f>assignmentSQL('Master Table'!BB11,'Master Table'!BB$1,'Master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WorkSite'), (SELECT RegionID FROM Region WHERE Name = 'India'),1,0,0);</v>
      </c>
      <c r="BC11" t="str">
        <f>assignmentSQL('Master Table'!BC11,'Master Table'!BC$1,'Master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Edge'), (SELECT RegionID FROM Region WHERE Name = 'India'),1,0,0);</v>
      </c>
      <c r="BD11" t="str">
        <f>assignmentSQL('Master Table'!BD11,'Master Table'!BD$1,'Master Table'!$A11,'Master Table'!$B11)</f>
        <v>INSERT INTO Contact_ProductLine_Map (ContactId, ProductLineId, RegionId, IsSales, IsPM, IsUserAdvocate) VALUES ((SELECT ContactId FROM Contact WHERE Name = 'Steven Chau'), (SELECT ProductLineId FROM ProductLine WHERE Name = 'Navigator CE'), (SELECT RegionID FROM Region WHERE Name = 'India'),1,0,0);</v>
      </c>
      <c r="BE11" t="str">
        <f>assignmentSQL('Master Table'!BE11,'Master Table'!BE$1,'Master Table'!$A11,'Master Table'!$B11)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'India'),1,0,0);</v>
      </c>
      <c r="BF11" t="str">
        <f>assignmentSQL('Master Table'!BF11,'Master Table'!BF$1,'Master Table'!$A11,'Master Table'!$B11)</f>
        <v>INSERT INTO Contact_ProductLine_Map (ContactId, ProductLineId, RegionId, IsSales, IsPM, IsUserAdvocate) VALUES ((SELECT ContactId FROM Contact WHERE Name = 'Eric Crivella'), (SELECT ProductLineId FROM ProductLine WHERE Name = 'EADOC UI Upgrade'), (SELECT RegionID FROM Region WHERE Name = 'India'),1,0,0);</v>
      </c>
      <c r="BG11" t="str">
        <f>assignmentSQL('Master Table'!BG11,'Master Table'!BG$1,'Master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'Deliverables Management'), (SELECT RegionID FROM Region WHERE Name = 'India'),1,0,0);</v>
      </c>
      <c r="BH11" t="str">
        <f>assignmentSQL('Master Table'!BH11,'Master Table'!BH$1,'Master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'Bentley Automation Service CONNECT Edition'), (SELECT RegionID FROM Region WHERE Name = 'India'),1,0,0);</v>
      </c>
      <c r="BI11" t="str">
        <f>assignmentSQL('Master Table'!BI11,'Master Table'!BI$1,'Master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"Field Data Management'), (SELECT RegionID FROM Region WHERE Name = 'India'),1,0,0);</v>
      </c>
      <c r="BJ11" t="str">
        <f>assignmentSQL('Master Table'!BJ11,'Master Table'!BJ$1,'Master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PDF'), (SELECT RegionID FROM Region WHERE Name = 'India'),1,0,0);</v>
      </c>
      <c r="BK11" t="str">
        <f>assignmentSQL('Master Table'!BK11,'Master Table'!BK$1,'Master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InterPlot Server and Interplot Organizer'), (SELECT RegionID FROM Region WHERE Name = 'India'),1,0,0);</v>
      </c>
      <c r="BL11" t="str">
        <f>assignmentSQL('Master Table'!BL11,'Master Table'!BL$1,'Master Table'!$A11,'Master Table'!$B11)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i-models'), (SELECT RegionID FROM Region WHERE Name = 'India'),1,0,0);</v>
      </c>
    </row>
    <row r="12" spans="3:64" x14ac:dyDescent="0.25">
      <c r="C12" t="str">
        <f>assignmentSQL('Master Table'!C12,'Master Table'!C$1,'Master Table'!$A12,'Master Table'!$B12)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'India'),0,1,0);</v>
      </c>
      <c r="D12" t="str">
        <f>assignmentSQL('Master Table'!D12,'Master Table'!D$1,'Master Table'!$A12,'Master Table'!$B12)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'India'),0,1,0);</v>
      </c>
      <c r="E12" t="str">
        <f>assignmentSQL('Master Table'!E12,'Master Table'!E$1,'Master Table'!$A12,'Master Table'!$B12)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'India'),0,1,0);INSERT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'India'),0,1,0);</v>
      </c>
      <c r="F12" t="str">
        <f>assignmentSQL('Master Table'!F12,'Master Table'!F$1,'Master Table'!$A12,'Master Table'!$B12)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'India'),0,1,0);</v>
      </c>
      <c r="G12" t="str">
        <f>assignmentSQL('Master Table'!G12,'Master Table'!G$1,'Master Table'!$A12,'Master Table'!$B12)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'India'),0,1,0);</v>
      </c>
      <c r="H12" t="str">
        <f>assignmentSQL('Master Table'!H12,'Master Table'!H$1,'Master Table'!$A12,'Master Table'!$B12)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'India'),0,1,0);</v>
      </c>
      <c r="I12" t="str">
        <f>assignmentSQL('Master Table'!I12,'Master Table'!I$1,'Master Table'!$A12,'Master Table'!$B12)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'India'),0,1,0);</v>
      </c>
      <c r="J12" t="str">
        <f>assignmentSQL('Master Table'!J12,'Master Table'!J$1,'Master Table'!$A12,'Master Table'!$B12)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'India'),0,1,0);</v>
      </c>
      <c r="K12" t="str">
        <f>assignmentSQL('Master Table'!K12,'Master Table'!K$1,'Master Table'!$A12,'Master Table'!$B12)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'India'),0,1,0);</v>
      </c>
      <c r="L12" t="str">
        <f>assignmentSQL('Master Table'!L12,'Master Table'!L$1,'Master Table'!$A12,'Master Table'!$B12)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'India'),0,1,0);</v>
      </c>
      <c r="M12" t="str">
        <f>assignmentSQL('Master Table'!M12,'Master Table'!M$1,'Master Table'!$A12,'Master Table'!$B12)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'India'),0,1,0);</v>
      </c>
      <c r="N12" t="str">
        <f>assignmentSQL('Master Table'!N12,'Master Table'!N$1,'Master Table'!$A12,'Master Table'!$B12)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'India'),0,1,0);</v>
      </c>
      <c r="O12" t="str">
        <f>assignmentSQL('Master Table'!O12,'Master Table'!O$1,'Master Table'!$A12,'Master Table'!$B12)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'India'),0,1,0);</v>
      </c>
      <c r="P12" t="str">
        <f>assignmentSQL('Master Table'!P12,'Master Table'!P$1,'Master Table'!$A12,'Master Table'!$B12)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'India'),0,1,0);</v>
      </c>
      <c r="Q12" t="str">
        <f>assignmentSQL('Master Table'!Q12,'Master Table'!Q$1,'Master Table'!$A12,'Master Table'!$B12)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'India'),0,1,0);</v>
      </c>
      <c r="R12" t="str">
        <f>assignmentSQL('Master Table'!R12,'Master Table'!R$1,'Master Table'!$A12,'Master Table'!$B12)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'India'),0,1,0);</v>
      </c>
      <c r="S12" t="str">
        <f>assignmentSQL('Master Table'!S12,'Master Table'!S$1,'Master Table'!$A12,'Master Table'!$B12)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'India'),0,1,0);</v>
      </c>
      <c r="T12" t="str">
        <f>assignmentSQL('Master Table'!T12,'Master Table'!T$1,'Master Table'!$A12,'Master Table'!$B12)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'India'),0,1,0);</v>
      </c>
      <c r="U12" t="str">
        <f>assignmentSQL('Master Table'!U12,'Master Table'!U$1,'Master Table'!$A12,'Master Table'!$B12)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'India'),0,1,0);</v>
      </c>
      <c r="V12" t="str">
        <f>assignmentSQL('Master Table'!V12,'Master Table'!V$1,'Master Table'!$A12,'Master Table'!$B12)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'India'),0,1,0);</v>
      </c>
      <c r="W12" t="str">
        <f>assignmentSQL('Master Table'!W12,'Master Table'!W$1,'Master Table'!$A12,'Master Table'!$B12)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'India'),0,1,0);</v>
      </c>
      <c r="X12" t="str">
        <f>assignmentSQL('Master Table'!X12,'Master Table'!X$1,'Master Table'!$A12,'Master Table'!$B12)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'India'),0,1,0);</v>
      </c>
      <c r="Y12" t="str">
        <f>assignmentSQL('Master Table'!Y12,'Master Table'!Y$1,'Master Table'!$A12,'Master Table'!$B12)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'India'),0,1,0);</v>
      </c>
      <c r="Z12" t="str">
        <f>assignmentSQL('Master Table'!Z12,'Master Table'!Z$1,'Master Table'!$A12,'Master Table'!$B12)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'India'),0,1,0);</v>
      </c>
      <c r="AA12" t="str">
        <f>assignmentSQL('Master Table'!AA12,'Master Table'!AA$1,'Master Table'!$A12,'Master Table'!$B12)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'India'),0,1,0);</v>
      </c>
      <c r="AB12" t="str">
        <f>assignmentSQL('Master Table'!AB12,'Master Table'!AB$1,'Master Table'!$A12,'Master Table'!$B12)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'India'),0,1,0);</v>
      </c>
      <c r="AC12" t="str">
        <f>assignmentSQL('Master Table'!AC12,'Master Table'!AC$1,'Master Table'!$A12,'Master Table'!$B12)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'India'),0,1,0);</v>
      </c>
      <c r="AD12" t="str">
        <f>assignmentSQL('Master Table'!AD12,'Master Table'!AD$1,'Master Table'!$A12,'Master Table'!$B12)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'India'),0,1,0);</v>
      </c>
      <c r="AE12" t="str">
        <f>assignmentSQL('Master Table'!AE12,'Master Table'!AE$1,'Master Table'!$A12,'Master Table'!$B12)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'India'),0,1,0);</v>
      </c>
      <c r="AF12" t="str">
        <f>assignmentSQL('Master Table'!AF12,'Master Table'!AF$1,'Master Table'!$A12,'Master Table'!$B12)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'India'),0,1,0);</v>
      </c>
      <c r="AG12" t="str">
        <f>assignmentSQL('Master Table'!AG12,'Master Table'!AG$1,'Master Table'!$A12,'Master Table'!$B12)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'India'),0,1,0);</v>
      </c>
      <c r="AH12" t="str">
        <f>assignmentSQL('Master Table'!AH12,'Master Table'!AH$1,'Master Table'!$A12,'Master Table'!$B12)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'India'),0,1,0);</v>
      </c>
      <c r="AI12" t="str">
        <f>assignmentSQL('Master Table'!AI12,'Master Table'!AI$1,'Master Table'!$A12,'Master Table'!$B12)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'India'),0,1,0);</v>
      </c>
      <c r="AJ12" t="str">
        <f>assignmentSQL('Master Table'!AJ12,'Master Table'!AJ$1,'Master Table'!$A12,'Master Table'!$B12)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'India'),0,1,0);</v>
      </c>
      <c r="AK12" t="str">
        <f>assignmentSQL('Master Table'!AK12,'Master Table'!AK$1,'Master Table'!$A12,'Master Table'!$B12)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'India'),0,1,0);</v>
      </c>
      <c r="AL12" t="str">
        <f>assignmentSQL('Master Table'!AL12,'Master Table'!AL$1,'Master Table'!$A12,'Master Table'!$B12)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'India'),0,1,0);</v>
      </c>
      <c r="AM12" t="str">
        <f>assignmentSQL('Master Table'!AM12,'Master Table'!AM$1,'Master Table'!$A12,'Master Table'!$B12)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'India'),0,1,0);</v>
      </c>
      <c r="AN12" t="str">
        <f>assignmentSQL('Master Table'!AN12,'Master Table'!AN$1,'Master Table'!$A12,'Master Table'!$B12)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'India'),0,1,0);</v>
      </c>
      <c r="AO12" t="str">
        <f>assignmentSQL('Master Table'!AO12,'Master Table'!AO$1,'Master Table'!$A12,'Master Table'!$B12)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'India'),0,1,0);</v>
      </c>
      <c r="AP12" t="str">
        <f>assignmentSQL('Master Table'!AP12,'Master Table'!AP$1,'Master Table'!$A12,'Master Table'!$B12)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'India'),0,1,0);</v>
      </c>
      <c r="AQ12" t="str">
        <f>assignmentSQL('Master Table'!AQ12,'Master Table'!AQ$1,'Master Table'!$A12,'Master Table'!$B12)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'India'),0,1,0);</v>
      </c>
      <c r="AR12" t="str">
        <f>assignmentSQL('Master Table'!AR12,'Master Table'!AR$1,'Master Table'!$A12,'Master Table'!$B12)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'India'),0,1,0);</v>
      </c>
      <c r="AS12" t="str">
        <f>assignmentSQL('Master Table'!AS12,'Master Table'!AS$1,'Master Table'!$A12,'Master Table'!$B12)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'India'),0,1,0);</v>
      </c>
      <c r="AT12" t="str">
        <f>assignmentSQL('Master Table'!AT12,'Master Table'!AT$1,'Master Table'!$A12,'Master Table'!$B12)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'India'),0,1,0);</v>
      </c>
      <c r="AU12" t="str">
        <f>assignmentSQL('Master Table'!AU12,'Master Table'!AU$1,'Master Table'!$A12,'Master Table'!$B12)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'India'),0,1,0);</v>
      </c>
      <c r="AV12" t="str">
        <f>assignmentSQL('Master Table'!AV12,'Master Table'!AV$1,'Master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'India'),0,1,0);</v>
      </c>
      <c r="AW12" t="str">
        <f>assignmentSQL('Master Table'!AW12,'Master Table'!AW$1,'Master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'India'),0,1,0);</v>
      </c>
      <c r="AX12" t="str">
        <f>assignmentSQL('Master Table'!AX12,'Master Table'!AX$1,'Master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'India'),0,1,0);</v>
      </c>
      <c r="AY12" t="str">
        <f>assignmentSQL('Master Table'!AY12,'Master Table'!AY$1,'Master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'India'),0,1,0);</v>
      </c>
      <c r="AZ12" t="str">
        <f>assignmentSQL('Master Table'!AZ12,'Master Table'!AZ$1,'Master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'India'),0,1,0);</v>
      </c>
      <c r="BA12" t="str">
        <f>assignmentSQL('Master Table'!BA12,'Master Table'!BA$1,'Master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'India'),0,1,0);INSERT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'India'),0,1,0);</v>
      </c>
      <c r="BB12" t="str">
        <f>assignmentSQL('Master Table'!BB12,'Master Table'!BB$1,'Master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'India'),0,1,0);INSERT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'India'),0,1,0);</v>
      </c>
      <c r="BC12" t="str">
        <f>assignmentSQL('Master Table'!BC12,'Master Table'!BC$1,'Master Table'!$A12,'Master Table'!$B12)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'India'),0,1,0);INSERT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'India'),0,1,0);</v>
      </c>
      <c r="BD12" t="str">
        <f>assignmentSQL('Master Table'!BD12,'Master Table'!BD$1,'Master Table'!$A12,'Master Table'!$B12)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'India'),0,1,0);</v>
      </c>
      <c r="BE12" t="str">
        <f>assignmentSQL('Master Table'!BE12,'Master Table'!BE$1,'Master Table'!$A12,'Master Table'!$B12)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'India'),0,1,0);</v>
      </c>
      <c r="BF12" t="str">
        <f>assignmentSQL('Master Table'!BF12,'Master Table'!BF$1,'Master Table'!$A12,'Master Table'!$B12)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'India'),0,1,0);</v>
      </c>
      <c r="BG12" t="str">
        <f>assignmentSQL('Master Table'!BG12,'Master Table'!BG$1,'Master Table'!$A12,'Master Table'!$B12)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'India'),0,1,0);</v>
      </c>
      <c r="BH12" t="str">
        <f>assignmentSQL('Master Table'!BH12,'Master Table'!BH$1,'Master Table'!$A12,'Master Table'!$B12)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'India'),0,1,0);</v>
      </c>
      <c r="BI12" t="str">
        <f>assignmentSQL('Master Table'!BI12,'Master Table'!BI$1,'Master Table'!$A12,'Master Table'!$B12)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'India'),0,1,0);</v>
      </c>
      <c r="BJ12" t="str">
        <f>assignmentSQL('Master Table'!BJ12,'Master Table'!BJ$1,'Master Table'!$A12,'Master Table'!$B12)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'India'),0,1,0);</v>
      </c>
      <c r="BK12" t="str">
        <f>assignmentSQL('Master Table'!BK12,'Master Table'!BK$1,'Master Table'!$A12,'Master Table'!$B12)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'India'),0,1,0);</v>
      </c>
      <c r="BL12" t="str">
        <f>assignmentSQL('Master Table'!BL12,'Master Table'!BL$1,'Master Table'!$A12,'Master Table'!$B12)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'India'),0,1,0);</v>
      </c>
    </row>
    <row r="13" spans="3:64" x14ac:dyDescent="0.25">
      <c r="C13" t="str">
        <f>assignmentSQL('Master Table'!C13,'Master Table'!C$1,'Master Table'!$A13,'Master Table'!$B13)</f>
        <v>INSERT INTO Contact_ProductLine_Map (ContactId, ProductLineId, RegionId, IsSales, IsPM, IsUserAdvocate) VALUES ((SELECT ContactId FROM Contact WHERE Name = 'Dan Choudhury'), (SELECT ProductLineId FROM ProductLine WHERE Name = 'STAAD'), (SELECT RegionID FROM Region WHERE Name = 'India'),0,0,1);</v>
      </c>
      <c r="D13" t="str">
        <f>assignmentSQL('Master Table'!D13,'Master Table'!D$1,'Master Table'!$A13,'Master Table'!$B13)</f>
        <v>INSERT INTO Contact_ProductLine_Map (ContactId, ProductLineId, RegionId, IsSales, IsPM, IsUserAdvocate) VALUES ((SELECT ContactId FROM Contact WHERE Name = 'Dan Choudhury'), (SELECT ProductLineId FROM ProductLine WHERE Name = 'RAM'), (SELECT RegionID FROM Region WHERE Name = 'India'),0,0,1);</v>
      </c>
      <c r="E13" t="str">
        <f>assignmentSQL('Master Table'!E13,'Master Table'!E$1,'Master Table'!$A13,'Master Table'!$B13)</f>
        <v>INSERT INTO Contact_ProductLine_Map (ContactId, ProductLineId, RegionId, IsSales, IsPM, IsUserAdvocate) VALUES ((SELECT ContactId FROM Contact WHERE Name = 'Sunil Das'), (SELECT ProductLineId FROM ProductLine WHERE Name = 'AUTOPIPE'), (SELECT RegionID FROM Region WHERE Name = 'India'),0,0,1);</v>
      </c>
      <c r="F13" t="str">
        <f>assignmentSQL('Master Table'!F13,'Master Table'!F$1,'Master Table'!$A13,'Master Table'!$B13)</f>
        <v>INSERT INTO Contact_ProductLine_Map (ContactId, ProductLineId, RegionId, IsSales, IsPM, IsUserAdvocate) VALUES ((SELECT ContactId FROM Contact WHERE Name = 'Aby Paul'), (SELECT ProductLineId FROM ProductLine WHERE Name = 'SACS'), (SELECT RegionID FROM Region WHERE Name = 'India'),0,0,1);</v>
      </c>
      <c r="G13" t="str">
        <f>assignmentSQL('Master Table'!G13,'Master Table'!G$1,'Master Table'!$A13,'Master Table'!$B13)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'India'),0,0,1);</v>
      </c>
      <c r="H13" t="str">
        <f>assignmentSQL('Master Table'!H13,'Master Table'!H$1,'Master Table'!$A13,'Master Table'!$B13)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'India'),0,0,1);</v>
      </c>
      <c r="I13" t="str">
        <f>assignmentSQL('Master Table'!I13,'Master Table'!I$1,'Master Table'!$A13,'Master Table'!$B13)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'India'),0,0,1);</v>
      </c>
      <c r="J13" t="str">
        <f>assignmentSQL('Master Table'!J13,'Master Table'!J$1,'Master Table'!$A13,'Master Table'!$B13)</f>
        <v>INSERT INTO Contact_ProductLine_Map (ContactId, ProductLineId, RegionId, IsSales, IsPM, IsUserAdvocate) VALUES ((SELECT ContactId FROM Contact WHERE Name = 'Vinay Mysore'), (SELECT ProductLineId FROM ProductLine WHERE Name = 'LEAP'), (SELECT RegionID FROM Region WHERE Name = 'India'),0,0,1);</v>
      </c>
      <c r="K13" t="str">
        <f>assignmentSQL('Master Table'!K13,'Master Table'!K$1,'Master Table'!$A13,'Master Table'!$B13)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'India'),0,0,1);</v>
      </c>
      <c r="L13" t="str">
        <f>assignmentSQL('Master Table'!L13,'Master Table'!L$1,'Master Table'!$A13,'Master Table'!$B13)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'India'),0,0,1);</v>
      </c>
      <c r="M13" t="str">
        <f>assignmentSQL('Master Table'!M13,'Master Table'!M$1,'Master Table'!$A13,'Master Table'!$B13)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'India'),0,0,1);</v>
      </c>
      <c r="N13" t="str">
        <f>assignmentSQL('Master Table'!N13,'Master Table'!N$1,'Master Table'!$A13,'Master Table'!$B13)</f>
        <v>INSERT INTO Contact_ProductLine_Map (ContactId, ProductLineId, RegionId, IsSales, IsPM, IsUserAdvocate) VALUES ((SELECT ContactId FROM Contact WHERE Name = 'Sanjiv Kapila'), (SELECT ProductLineId FROM ProductLine WHERE Name = 'AECOsim Building Designer'), (SELECT RegionID FROM Region WHERE Name = 'India'),0,0,1);</v>
      </c>
      <c r="O13" t="str">
        <f>assignmentSQL('Master Table'!O13,'Master Table'!O$1,'Master Table'!$A13,'Master Table'!$B13)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'India'),0,0,1);</v>
      </c>
      <c r="P13" t="str">
        <f>assignmentSQL('Master Table'!P13,'Master Table'!P$1,'Master Table'!$A13,'Master Table'!$B13)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'India'),0,0,1);</v>
      </c>
      <c r="Q13" t="str">
        <f>assignmentSQL('Master Table'!Q13,'Master Table'!Q$1,'Master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'GEOPAK'), (SELECT RegionID FROM Region WHERE Name = 'India'),0,0,1);</v>
      </c>
      <c r="R13" t="str">
        <f>assignmentSQL('Master Table'!R13,'Master Table'!R$1,'Master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'InRoads'), (SELECT RegionID FROM Region WHERE Name = 'India'),0,0,1);</v>
      </c>
      <c r="S13" t="str">
        <f>assignmentSQL('Master Table'!S13,'Master Table'!S$1,'Master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'MX'), (SELECT RegionID FROM Region WHERE Name = 'India'),0,0,1);</v>
      </c>
      <c r="T13" t="str">
        <f>assignmentSQL('Master Table'!T13,'Master Table'!T$1,'Master Table'!$A13,'Master Table'!$B13)</f>
        <v>INSERT INTO Contact_ProductLine_Map (ContactId, ProductLineId, RegionId, IsSales, IsPM, IsUserAdvocate) VALUES ((SELECT ContactId FROM Contact WHERE Name = 'Anupama Tuteja'), (SELECT ProductLineId FROM ProductLine WHERE Name = 'OpenRail'), (SELECT RegionID FROM Region WHERE Name = 'India'),0,0,1);</v>
      </c>
      <c r="U13" t="str">
        <f>assignmentSQL('Master Table'!U13,'Master Table'!U$1,'Master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'OpenRoads'), (SELECT RegionID FROM Region WHERE Name = 'India'),0,0,1);</v>
      </c>
      <c r="V13" t="str">
        <f>assignmentSQL('Master Table'!V13,'Master Table'!V$1,'Master Table'!$A13,'Master Table'!$B13)</f>
        <v/>
      </c>
      <c r="W13" t="str">
        <f>assignmentSQL('Master Table'!W13,'Master Table'!W$1,'Master Table'!$A13,'Master Table'!$B13)</f>
        <v>INSERT INTO Contact_ProductLine_Map (ContactId, ProductLineId, RegionId, IsSales, IsPM, IsUserAdvocate) VALUES ((SELECT ContactId FROM Contact WHERE Name = 'Anupama Tuteja'), (SELECT ProductLineId FROM ProductLine WHERE Name = 'gINT'), (SELECT RegionID FROM Region WHERE Name = 'India'),0,0,1);</v>
      </c>
      <c r="X13" t="str">
        <f>assignmentSQL('Master Table'!X13,'Master Table'!X$1,'Master Table'!$A13,'Master Table'!$B13)</f>
        <v>INSERT INTO Contact_ProductLine_Map (ContactId, ProductLineId, RegionId, IsSales, IsPM, IsUserAdvocate) VALUES ((SELECT ContactId FROM Contact WHERE Name = 'Sujeet Srivastava'), (SELECT ProductLineId FROM ProductLine WHERE Name = 'AutoPLANT'), (SELECT RegionID FROM Region WHERE Name = 'India'),0,0,1);</v>
      </c>
      <c r="Y13" t="str">
        <f>assignmentSQL('Master Table'!Y13,'Master Table'!Y$1,'Master Table'!$A13,'Master Table'!$B13)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'India'),0,0,1);</v>
      </c>
      <c r="Z13" t="str">
        <f>assignmentSQL('Master Table'!Z13,'Master Table'!Z$1,'Master Table'!$A13,'Master Table'!$B13)</f>
        <v>INSERT INTO Contact_ProductLine_Map (ContactId, ProductLineId, RegionId, IsSales, IsPM, IsUserAdvocate) VALUES ((SELECT ContactId FROM Contact WHERE Name = 'Sujeet Srivastava'), (SELECT ProductLineId FROM ProductLine WHERE Name = 'OpenPlant'), (SELECT RegionID FROM Region WHERE Name = 'India'),0,0,1);</v>
      </c>
      <c r="AA13" t="str">
        <f>assignmentSQL('Master Table'!AA13,'Master Table'!AA$1,'Master Table'!$A13,'Master Table'!$B13)</f>
        <v>INSERT INTO Contact_ProductLine_Map (ContactId, ProductLineId, RegionId, IsSales, IsPM, IsUserAdvocate) VALUES ((SELECT ContactId FROM Contact WHERE Name = 'Litto Kuttikadan'), (SELECT ProductLineId FROM ProductLine WHERE Name = 'PlantSpace'), (SELECT RegionID FROM Region WHERE Name = 'India'),0,0,1);</v>
      </c>
      <c r="AB13" t="str">
        <f>assignmentSQL('Master Table'!AB13,'Master Table'!AB$1,'Master Table'!$A13,'Master Table'!$B13)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'India'),0,0,1);</v>
      </c>
      <c r="AC13" t="str">
        <f>assignmentSQL('Master Table'!AC13,'Master Table'!AC$1,'Master Table'!$A13,'Master Table'!$B13)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'India'),0,0,1);</v>
      </c>
      <c r="AD13" t="str">
        <f>assignmentSQL('Master Table'!AD13,'Master Table'!AD$1,'Master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'Pointools'), (SELECT RegionID FROM Region WHERE Name = 'India'),0,0,1);</v>
      </c>
      <c r="AE13" t="str">
        <f>assignmentSQL('Master Table'!AE13,'Master Table'!AE$1,'Master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'LumenRT'), (SELECT RegionID FROM Region WHERE Name = 'India'),0,0,1);</v>
      </c>
      <c r="AF13" t="str">
        <f>assignmentSQL('Master Table'!AF13,'Master Table'!AF$1,'Master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'ContextCapture'), (SELECT RegionID FROM Region WHERE Name = 'India'),0,0,1);</v>
      </c>
      <c r="AG13" t="str">
        <f>assignmentSQL('Master Table'!AG13,'Master Table'!AG$1,'Master Table'!$A13,'Master Table'!$B13)</f>
        <v>INSERT INTO Contact_ProductLine_Map (ContactId, ProductLineId, RegionId, IsSales, IsPM, IsUserAdvocate) VALUES ((SELECT ContactId FROM Contact WHERE Name = 'Ganesh Deshmukh'), (SELECT ProductLineId FROM ProductLine WHERE Name = 'Descartes'), (SELECT RegionID FROM Region WHERE Name = 'India'),0,0,1);</v>
      </c>
      <c r="AH13" t="str">
        <f>assignmentSQL('Master Table'!AH13,'Master Table'!AH$1,'Master Table'!$A13,'Master Table'!$B13)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'India'),0,0,1);</v>
      </c>
      <c r="AI13" t="str">
        <f>assignmentSQL('Master Table'!AI13,'Master Table'!AI$1,'Master Table'!$A13,'Master Table'!$B13)</f>
        <v>INSERT INTO Contact_ProductLine_Map (ContactId, ProductLineId, RegionId, IsSales, IsPM, IsUserAdvocate) VALUES ((SELECT ContactId FROM Contact WHERE Name = 'Pankaj Mishra'), (SELECT ProductLineId FROM ProductLine WHERE Name = 'promis*e'), (SELECT RegionID FROM Region WHERE Name = 'India'),0,0,1);</v>
      </c>
      <c r="AJ13" t="str">
        <f>assignmentSQL('Master Table'!AJ13,'Master Table'!AJ$1,'Master Table'!$A13,'Master Table'!$B13)</f>
        <v>INSERT INTO Contact_ProductLine_Map (ContactId, ProductLineId, RegionId, IsSales, IsPM, IsUserAdvocate) VALUES ((SELECT ContactId FROM Contact WHERE Name = 'Engteck Soon'), (SELECT ProductLineId FROM ProductLine WHERE Name = 'AssetWise'), (SELECT RegionID FROM Region WHERE Name = 'India'),0,0,1);</v>
      </c>
      <c r="AK13" t="str">
        <f>assignmentSQL('Master Table'!AK13,'Master Table'!AK$1,'Master Table'!$A13,'Master Table'!$B13)</f>
        <v>INSERT INTO Contact_ProductLine_Map (ContactId, ProductLineId, RegionId, IsSales, IsPM, IsUserAdvocate) VALUES ((SELECT ContactId FROM Contact WHERE Name = 'Engteck Soon'), (SELECT ProductLineId FROM ProductLine WHERE Name = 'AssetWise APM'), (SELECT RegionID FROM Region WHERE Name = 'India'),0,0,1);</v>
      </c>
      <c r="AL13" t="str">
        <f>assignmentSQL('Master Table'!AL13,'Master Table'!AL$1,'Master Table'!$A13,'Master Table'!$B13)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'India'),0,0,1);</v>
      </c>
      <c r="AM13" t="str">
        <f>assignmentSQL('Master Table'!AM13,'Master Table'!AM$1,'Master Table'!$A13,'Master Table'!$B13)</f>
        <v>INSERT INTO Contact_ProductLine_Map (ContactId, ProductLineId, RegionId, IsSales, IsPM, IsUserAdvocate) VALUES ((SELECT ContactId FROM Contact WHERE Name = 'MSV Rao'), (SELECT ProductLineId FROM ProductLine WHERE Name = 'Map'), (SELECT RegionID FROM Region WHERE Name = 'India'),0,0,1);</v>
      </c>
      <c r="AN13" t="str">
        <f>assignmentSQL('Master Table'!AN13,'Master Table'!AN$1,'Master Table'!$A13,'Master Table'!$B13)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'India'),0,0,1);</v>
      </c>
      <c r="AO13" t="str">
        <f>assignmentSQL('Master Table'!AO13,'Master Table'!AO$1,'Master Table'!$A13,'Master Table'!$B13)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'India'),0,0,1);</v>
      </c>
      <c r="AP13" t="str">
        <f>assignmentSQL('Master Table'!AP13,'Master Table'!AP$1,'Master Table'!$A13,'Master Table'!$B13)</f>
        <v>INSERT INTO Contact_ProductLine_Map (ContactId, ProductLineId, RegionId, IsSales, IsPM, IsUserAdvocate) VALUES ((SELECT ContactId FROM Contact WHERE Name = 'MSV Rao'), (SELECT ProductLineId FROM ProductLine WHERE Name = 'Haestad'), (SELECT RegionID FROM Region WHERE Name = 'India'),0,0,1);</v>
      </c>
      <c r="AQ13" t="str">
        <f>assignmentSQL('Master Table'!AQ13,'Master Table'!AQ$1,'Master Table'!$A13,'Master Table'!$B13)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'India'),0,0,1);</v>
      </c>
      <c r="AR13" t="str">
        <f>assignmentSQL('Master Table'!AR13,'Master Table'!AR$1,'Master Table'!$A13,'Master Table'!$B13)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'India'),0,0,1);</v>
      </c>
      <c r="AS13" t="str">
        <f>assignmentSQL('Master Table'!AS13,'Master Table'!AS$1,'Master Table'!$A13,'Master Table'!$B13)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'India'),0,0,1);</v>
      </c>
      <c r="AT13" t="str">
        <f>assignmentSQL('Master Table'!AT13,'Master Table'!AT$1,'Master Table'!$A13,'Master Table'!$B13)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'India'),0,0,1);</v>
      </c>
      <c r="AU13" t="str">
        <f>assignmentSQL('Master Table'!AU13,'Master Table'!AU$1,'Master Table'!$A13,'Master Table'!$B13)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'India'),0,0,1);</v>
      </c>
      <c r="AV13" t="str">
        <f>assignmentSQL('Master Table'!AV13,'Master Table'!AV$1,'Master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'ProjectWise Design Integration'), (SELECT RegionID FROM Region WHERE Name = 'India'),0,0,1);</v>
      </c>
      <c r="AW13" t="str">
        <f>assignmentSQL('Master Table'!AW13,'Master Table'!AW$1,'Master Table'!$A13,'Master Table'!$B13)</f>
        <v>INSERT INTO Contact_ProductLine_Map (ContactId, ProductLineId, RegionId, IsSales, IsPM, IsUserAdvocate) VALUES ((SELECT ContactId FROM Contact WHERE Name = 'Ranveer Basra'), (SELECT ProductLineId FROM ProductLine WHERE Name = 'ProjectWise Issues Resolution'), (SELECT RegionID FROM Region WHERE Name = 'India'),0,0,1);</v>
      </c>
      <c r="AX13" t="str">
        <f>assignmentSQL('Master Table'!AX13,'Master Table'!AX$1,'Master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'ProjectWise Explorer Civil 3D Integration Module'), (SELECT RegionID FROM Region WHERE Name = 'India'),0,0,1);</v>
      </c>
      <c r="AY13" t="str">
        <f>assignmentSQL('Master Table'!AY13,'Master Table'!AY$1,'Master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'ProjectWise Explorer Revit Integration Module'), (SELECT RegionID FROM Region WHERE Name = 'India'),0,0,1);</v>
      </c>
      <c r="AZ13" t="str">
        <f>assignmentSQL('Master Table'!AZ13,'Master Table'!AZ$1,'Master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'ProjectWise Explorer Office Integration Module'), (SELECT RegionID FROM Region WHERE Name = 'India'),0,0,1);</v>
      </c>
      <c r="BA13" t="str">
        <f>assignmentSQL('Master Table'!BA13,'Master Table'!BA$1,'Master Table'!$A13,'Master Table'!$B13)</f>
        <v>INSERT INTO Contact_ProductLine_Map (ContactId, ProductLineId, RegionId, IsSales, IsPM, IsUserAdvocate) VALUES ((SELECT ContactId FROM Contact WHERE Name = 'Justinas Verbickas'), (SELECT ProductLineId FROM ProductLine WHERE Name = 'ProjectWise Edge Mobile'), (SELECT RegionID FROM Region WHERE Name = 'India'),0,0,1);</v>
      </c>
      <c r="BB13" t="str">
        <f>assignmentSQL('Master Table'!BB13,'Master Table'!BB$1,'Master Table'!$A13,'Master Table'!$B13)</f>
        <v>INSERT INTO Contact_ProductLine_Map (ContactId, ProductLineId, RegionId, IsSales, IsPM, IsUserAdvocate) VALUES ((SELECT ContactId FROM Contact WHERE Name = 'Justinas Verbickas'), (SELECT ProductLineId FROM ProductLine WHERE Name = 'ProjectWise WorkSite'), (SELECT RegionID FROM Region WHERE Name = 'India'),0,0,1);</v>
      </c>
      <c r="BC13" t="str">
        <f>assignmentSQL('Master Table'!BC13,'Master Table'!BC$1,'Master Table'!$A13,'Master Table'!$B13)</f>
        <v>INSERT INTO Contact_ProductLine_Map (ContactId, ProductLineId, RegionId, IsSales, IsPM, IsUserAdvocate) VALUES ((SELECT ContactId FROM Contact WHERE Name = 'Justinas Verbickas'), (SELECT ProductLineId FROM ProductLine WHERE Name = 'ProjectWise Edge'), (SELECT RegionID FROM Region WHERE Name = 'India'),0,0,1);</v>
      </c>
      <c r="BD13" t="str">
        <f>assignmentSQL('Master Table'!BD13,'Master Table'!BD$1,'Master Table'!$A13,'Master Table'!$B13)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'India'),0,0,1);</v>
      </c>
      <c r="BE13" t="str">
        <f>assignmentSQL('Master Table'!BE13,'Master Table'!BE$1,'Master Table'!$A13,'Master Table'!$B13)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'India'),0,0,1);</v>
      </c>
      <c r="BF13" t="str">
        <f>assignmentSQL('Master Table'!BF13,'Master Table'!BF$1,'Master Table'!$A13,'Master Table'!$B13)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'India'),0,0,1);</v>
      </c>
      <c r="BG13" t="str">
        <f>assignmentSQL('Master Table'!BG13,'Master Table'!BG$1,'Master Table'!$A13,'Master Table'!$B13)</f>
        <v>INSERT INTO Contact_ProductLine_Map (ContactId, ProductLineId, RegionId, IsSales, IsPM, IsUserAdvocate) VALUES ((SELECT ContactId FROM Contact WHERE Name = 'Molly Watts'), (SELECT ProductLineId FROM ProductLine WHERE Name = 'Deliverables Management'), (SELECT RegionID FROM Region WHERE Name = 'India'),0,0,1);</v>
      </c>
      <c r="BH13" t="str">
        <f>assignmentSQL('Master Table'!BH13,'Master Table'!BH$1,'Master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'India'),0,0,1);</v>
      </c>
      <c r="BI13" t="str">
        <f>assignmentSQL('Master Table'!BI13,'Master Table'!BI$1,'Master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'ProjectWise "Field Data Management'), (SELECT RegionID FROM Region WHERE Name = 'India'),0,0,1);</v>
      </c>
      <c r="BJ13" t="str">
        <f>assignmentSQL('Master Table'!BJ13,'Master Table'!BJ$1,'Master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'India'),0,0,1);</v>
      </c>
      <c r="BK13" t="str">
        <f>assignmentSQL('Master Table'!BK13,'Master Table'!BK$1,'Master Table'!$A13,'Master Table'!$B13)</f>
        <v/>
      </c>
      <c r="BL13" t="str">
        <f>assignmentSQL('Master Table'!BL13,'Master Table'!BL$1,'Master Table'!$A13,'Master Table'!$B13)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i-models'), (SELECT RegionID FROM Region WHERE Name = 'India'),0,0,1);</v>
      </c>
    </row>
    <row r="14" spans="3:64" x14ac:dyDescent="0.25">
      <c r="C14" t="str">
        <f>assignmentSQL('Master Table'!C14,'Master Table'!C$1,'Master Table'!$A14,'Master Table'!$B14)</f>
        <v>INSERT INTO Contact_ProductLine_Map (ContactId, ProductLineId, RegionId, IsSales, IsPM, IsUserAdvocate) VALUES ((SELECT ContactId FROM Contact WHERE Name = 'Ashish Kumar'), (SELECT ProductLineId FROM ProductLine WHERE Name = 'STAAD'), (SELECT RegionID FROM Region WHERE Name = 'ME'),1,0,0);</v>
      </c>
      <c r="D14" t="str">
        <f>assignmentSQL('Master Table'!D14,'Master Table'!D$1,'Master Table'!$A14,'Master Table'!$B14)</f>
        <v>INSERT INTO Contact_ProductLine_Map (ContactId, ProductLineId, RegionId, IsSales, IsPM, IsUserAdvocate) VALUES ((SELECT ContactId FROM Contact WHERE Name = 'Ashish Kumar'), (SELECT ProductLineId FROM ProductLine WHERE Name = 'RAM'), (SELECT RegionID FROM Region WHERE Name = 'ME'),1,0,0);</v>
      </c>
      <c r="E14" t="str">
        <f>assignmentSQL('Master Table'!E14,'Master Table'!E$1,'Master Table'!$A14,'Master Table'!$B14)</f>
        <v>INSERT INTO Contact_ProductLine_Map (ContactId, ProductLineId, RegionId, IsSales, IsPM, IsUserAdvocate) VALUES ((SELECT ContactId FROM Contact WHERE Name = 'Ashish Kumar'), (SELECT ProductLineId FROM ProductLine WHERE Name = 'AUTOPIPE'), (SELECT RegionID FROM Region WHERE Name = 'ME'),1,0,0);</v>
      </c>
      <c r="F14" t="str">
        <f>assignmentSQL('Master Table'!F14,'Master Table'!F$1,'Master Table'!$A14,'Master Table'!$B14)</f>
        <v>INSERT INTO Contact_ProductLine_Map (ContactId, ProductLineId, RegionId, IsSales, IsPM, IsUserAdvocate) VALUES ((SELECT ContactId FROM Contact WHERE Name = 'Ashish Kumar'), (SELECT ProductLineId FROM ProductLine WHERE Name = 'SACS'), (SELECT RegionID FROM Region WHERE Name = 'ME'),1,0,0);</v>
      </c>
      <c r="G14" t="str">
        <f>assignmentSQL('Master Table'!G14,'Master Table'!G$1,'Master Table'!$A14,'Master Table'!$B14)</f>
        <v>INSERT INTO Contact_ProductLine_Map (ContactId, ProductLineId, RegionId, IsSales, IsPM, IsUserAdvocate) VALUES ((SELECT ContactId FROM Contact WHERE Name = 'Ashish Kumar'), (SELECT ProductLineId FROM ProductLine WHERE Name = 'MAXSURF'), (SELECT RegionID FROM Region WHERE Name = 'ME'),1,0,0);</v>
      </c>
      <c r="H14" t="str">
        <f>assignmentSQL('Master Table'!H14,'Master Table'!H$1,'Master Table'!$A14,'Master Table'!$B14)</f>
        <v>INSERT INTO Contact_ProductLine_Map (ContactId, ProductLineId, RegionId, IsSales, IsPM, IsUserAdvocate) VALUES ((SELECT ContactId FROM Contact WHERE Name = 'Ashish Kumar'), (SELECT ProductLineId FROM ProductLine WHERE Name = 'MOSES'), (SELECT RegionID FROM Region WHERE Name = 'ME'),1,0,0);</v>
      </c>
      <c r="I14" t="str">
        <f>assignmentSQL('Master Table'!I14,'Master Table'!I$1,'Master Table'!$A14,'Master Table'!$B14)</f>
        <v/>
      </c>
      <c r="J14" t="str">
        <f>assignmentSQL('Master Table'!J14,'Master Table'!J$1,'Master Table'!$A14,'Master Table'!$B14)</f>
        <v/>
      </c>
      <c r="K14" t="str">
        <f>assignmentSQL('Master Table'!K14,'Master Table'!K$1,'Master Table'!$A14,'Master Table'!$B14)</f>
        <v/>
      </c>
      <c r="L14" t="str">
        <f>assignmentSQL('Master Table'!L14,'Master Table'!L$1,'Master Table'!$A14,'Master Table'!$B14)</f>
        <v/>
      </c>
      <c r="M14" t="str">
        <f>assignmentSQL('Master Table'!M14,'Master Table'!M$1,'Master Table'!$A14,'Master Table'!$B14)</f>
        <v/>
      </c>
      <c r="N14" t="str">
        <f>assignmentSQL('Master Table'!N14,'Master Table'!N$1,'Master Table'!$A14,'Master Table'!$B14)</f>
        <v>INSERT INTO Contact_ProductLine_Map (ContactId, ProductLineId, RegionId, IsSales, IsPM, IsUserAdvocate) VALUES ((SELECT ContactId FROM Contact WHERE Name = 'Manish Singh'), (SELECT ProductLineId FROM ProductLine WHERE Name = 'AECOsim Building Designer'),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'AECOsim Building Designer'), (SELECT RegionID FROM Region WHERE Name = 'ME'),1,0,0);</v>
      </c>
      <c r="O14" t="str">
        <f>assignmentSQL('Master Table'!O14,'Master Table'!O$1,'Master Table'!$A14,'Master Table'!$B14)</f>
        <v>INSERT INTO Contact_ProductLine_Map (ContactId, ProductLineId, RegionId, IsSales, IsPM, IsUserAdvocate) VALUES ((SELECT ContactId FROM Contact WHERE Name = 'Manish Singh'), (SELECT ProductLineId FROM ProductLine WHERE Name = 'speedikon'),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'speedikon'), (SELECT RegionID FROM Region WHERE Name = 'ME'),1,0,0);</v>
      </c>
      <c r="P14" t="str">
        <f>assignmentSQL('Master Table'!P14,'Master Table'!P$1,'Master Table'!$A14,'Master Table'!$B14)</f>
        <v>INSERT INTO Contact_ProductLine_Map (ContactId, ProductLineId, RegionId, IsSales, IsPM, IsUserAdvocate) VALUES ((SELECT ContactId FROM Contact WHERE Name = 'Manish Singh'), (SELECT ProductLineId FROM ProductLine WHERE Name = 'Hevacomp'),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'Hevacomp'), (SELECT RegionID FROM Region WHERE Name = 'ME'),1,0,0);</v>
      </c>
      <c r="Q14" t="str">
        <f>assignmentSQL('Master Table'!Q14,'Master Table'!Q$1,'Master Table'!$A14,'Master Table'!$B14)</f>
        <v>INSERT INTO Contact_ProductLine_Map (ContactId, ProductLineId, RegionId, IsSales, IsPM, IsUserAdvocate) VALUES ((SELECT ContactId FROM Contact WHERE Name = 'Rick Black'), (SELECT ProductLineId FROM ProductLine WHERE Name = 'GEOPAK'), (SELECT RegionID FROM Region WHERE Name = 'ME'),1,0,0);</v>
      </c>
      <c r="R14" t="str">
        <f>assignmentSQL('Master Table'!R14,'Master Table'!R$1,'Master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'InRoads'), (SELECT RegionID FROM Region WHERE Name = 'ME'),1,0,0);</v>
      </c>
      <c r="S14" t="str">
        <f>assignmentSQL('Master Table'!S14,'Master Table'!S$1,'Master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'MX'), (SELECT RegionID FROM Region WHERE Name = 'ME'),1,0,0);</v>
      </c>
      <c r="T14" t="str">
        <f>assignmentSQL('Master Table'!T14,'Master Table'!T$1,'Master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'OpenRail'), (SELECT RegionID FROM Region WHERE Name = 'ME'),1,0,0);</v>
      </c>
      <c r="U14" t="str">
        <f>assignmentSQL('Master Table'!U14,'Master Table'!U$1,'Master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'OpenRoads'), (SELECT RegionID FROM Region WHERE Name = 'ME'),1,0,0);</v>
      </c>
      <c r="V14" t="str">
        <f>assignmentSQL('Master Table'!V14,'Master Table'!V$1,'Master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'ConceptStation'), (SELECT RegionID FROM Region WHERE Name = 'ME'),1,0,0);</v>
      </c>
      <c r="W14" t="str">
        <f>assignmentSQL('Master Table'!W14,'Master Table'!W$1,'Master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'gINT'), (SELECT RegionID FROM Region WHERE Name = 'ME'),1,0,0);</v>
      </c>
      <c r="X14" t="str">
        <f>assignmentSQL('Master Table'!X14,'Master Table'!X$1,'Master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'AutoPLANT'), (SELECT RegionID FROM Region WHERE Name = 'ME'),1,0,0);</v>
      </c>
      <c r="Y14" t="str">
        <f>assignmentSQL('Master Table'!Y14,'Master Table'!Y$1,'Master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'AXSYS'), (SELECT RegionID FROM Region WHERE Name = 'ME'),1,0,0);</v>
      </c>
      <c r="Z14" t="str">
        <f>assignmentSQL('Master Table'!Z14,'Master Table'!Z$1,'Master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'OpenPlant'), (SELECT RegionID FROM Region WHERE Name = 'ME'),1,0,0);</v>
      </c>
      <c r="AA14" t="str">
        <f>assignmentSQL('Master Table'!AA14,'Master Table'!AA$1,'Master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'PlantSpace'), (SELECT RegionID FROM Region WHERE Name = 'ME'),1,0,0);</v>
      </c>
      <c r="AB14" t="str">
        <f>assignmentSQL('Master Table'!AB14,'Master Table'!AB$1,'Master Table'!$A14,'Master Table'!$B14)</f>
        <v>INSERT INTO Contact_ProductLine_Map (ContactId, ProductLineId, RegionId, IsSales, IsPM, IsUserAdvocate) VALUES ((SELECT ContactId FROM Contact WHERE Name = 'Craven Naidoo'), (SELECT ProductLineId FROM ProductLine WHERE Name = 'MineCycle'), (SELECT RegionID FROM Region WHERE Name = 'ME'),1,0,0);</v>
      </c>
      <c r="AC14" t="str">
        <f>assignmentSQL('Master Table'!AC14,'Master Table'!AC$1,'Master Table'!$A14,'Master Table'!$B14)</f>
        <v>INSERT INTO Contact_ProductLine_Map (ContactId, ProductLineId, RegionId, IsSales, IsPM, IsUserAdvocate) VALUES ((SELECT ContactId FROM Contact WHERE Name = 'Hrayr Daghlian'), (SELECT ProductLineId FROM ProductLine WHERE Name = 'Plantwise'), (SELECT RegionID FROM Region WHERE Name = 'ME'),1,0,0);</v>
      </c>
      <c r="AD14" t="str">
        <f>assignmentSQL('Master Table'!AD14,'Master Table'!AD$1,'Master Table'!$A14,'Master Table'!$B14)</f>
        <v>INSERT INTO Contact_ProductLine_Map (ContactId, ProductLineId, RegionId, IsSales, IsPM, IsUserAdvocate) VALUES ((SELECT ContactId FROM Contact WHERE Name = 'Mostafa Shawkat'), (SELECT ProductLineId FROM ProductLine WHERE Name = 'Pointools'),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'Pointools'), (SELECT RegionID FROM Region WHERE Name = 'ME'),1,0,0);</v>
      </c>
      <c r="AE14" t="str">
        <f>assignmentSQL('Master Table'!AE14,'Master Table'!AE$1,'Master Table'!$A14,'Master Table'!$B14)</f>
        <v>INSERT INTO Contact_ProductLine_Map (ContactId, ProductLineId, RegionId, IsSales, IsPM, IsUserAdvocate) VALUES ((SELECT ContactId FROM Contact WHERE Name = 'Mostafa Shawkat'), (SELECT ProductLineId FROM ProductLine WHERE Name = 'LumenRT'),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'LumenRT'), (SELECT RegionID FROM Region WHERE Name = 'ME'),1,0,0);</v>
      </c>
      <c r="AF14" t="str">
        <f>assignmentSQL('Master Table'!AF14,'Master Table'!AF$1,'Master Table'!$A14,'Master Table'!$B14)</f>
        <v>INSERT INTO Contact_ProductLine_Map (ContactId, ProductLineId, RegionId, IsSales, IsPM, IsUserAdvocate) VALUES ((SELECT ContactId FROM Contact WHERE Name = 'Mostafa Shawkat'), (SELECT ProductLineId FROM ProductLine WHERE Name = 'ContextCapture'),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'ContextCapture'), (SELECT RegionID FROM Region WHERE Name = 'ME'),1,0,0);</v>
      </c>
      <c r="AG14" t="str">
        <f>assignmentSQL('Master Table'!AG14,'Master Table'!AG$1,'Master Table'!$A14,'Master Table'!$B14)</f>
        <v>INSERT INTO Contact_ProductLine_Map (ContactId, ProductLineId, RegionId, IsSales, IsPM, IsUserAdvocate) VALUES ((SELECT ContactId FROM Contact WHERE Name = 'Mostafa Shawkat'), (SELECT ProductLineId FROM ProductLine WHERE Name = 'Descartes'),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'Descartes'), (SELECT RegionID FROM Region WHERE Name = 'ME'),1,0,0);</v>
      </c>
      <c r="AH14" t="str">
        <f>assignmentSQL('Master Table'!AH14,'Master Table'!AH$1,'Master Table'!$A14,'Master Table'!$B14)</f>
        <v>INSERT INTO Contact_ProductLine_Map (ContactId, ProductLineId, RegionId, IsSales, IsPM, IsUserAdvocate) VALUES ((SELECT ContactId FROM Contact WHERE Name = 'Mostafa Shawkat'), (SELECT ProductLineId FROM ProductLine WHERE Name = 'ProStructures'), (SELECT RegionID FROM Region WHERE Name = 'ME'),1,0,0);INSERT INTO Contact_ProductLine_Map (ContactId, ProductLineId, RegionId, IsSales, IsPM, IsUserAdvocate) VALUES ((SELECT ContactId FROM Contact WHERE Name = 'Hrayr Daghlian'), (SELECT ProductLineId FROM ProductLine WHERE Name = 'ProStructures'), (SELECT RegionID FROM Region WHERE Name = 'ME'),1,0,0);</v>
      </c>
      <c r="AI14" t="str">
        <f>assignmentSQL('Master Table'!AI14,'Master Table'!AI$1,'Master Table'!$A14,'Master Table'!$B14)</f>
        <v>INSERT INTO Contact_ProductLine_Map (ContactId, ProductLineId, RegionId, IsSales, IsPM, IsUserAdvocate) VALUES ((SELECT ContactId FROM Contact WHERE Name = 'Rick Black'), (SELECT ProductLineId FROM ProductLine WHERE Name = 'promis*e'), (SELECT RegionID FROM Region WHERE Name = 'ME'),1,0,0);</v>
      </c>
      <c r="AJ14" t="str">
        <f>assignmentSQL('Master Table'!AJ14,'Master Table'!AJ$1,'Master Table'!$A14,'Master Table'!$B14)</f>
        <v>INSERT INTO Contact_ProductLine_Map (ContactId, ProductLineId, RegionId, IsSales, IsPM, IsUserAdvocate) VALUES ((SELECT ContactId FROM Contact WHERE Name = 'Freek Verhoef'), (SELECT ProductLineId FROM ProductLine WHERE Name = 'AssetWise'), (SELECT RegionID FROM Region WHERE Name = 'ME'),1,0,0);</v>
      </c>
      <c r="AK14" t="str">
        <f>assignmentSQL('Master Table'!AK14,'Master Table'!AK$1,'Master Table'!$A14,'Master Table'!$B14)</f>
        <v>INSERT INTO Contact_ProductLine_Map (ContactId, ProductLineId, RegionId, IsSales, IsPM, IsUserAdvocate) VALUES ((SELECT ContactId FROM Contact WHERE Name = 'George Khoury'), (SELECT ProductLineId FROM ProductLine WHERE Name = 'AssetWise APM'), (SELECT RegionID FROM Region WHERE Name = 'ME'),1,0,0);</v>
      </c>
      <c r="AL14" t="str">
        <f>assignmentSQL('Master Table'!AL14,'Master Table'!AL$1,'Master Table'!$A14,'Master Table'!$B14)</f>
        <v>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'ME'),1,0,0);INSERT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'ME'),1,0,0);</v>
      </c>
      <c r="AM14" t="str">
        <f>assignmentSQL('Master Table'!AM14,'Master Table'!AM$1,'Master Table'!$A14,'Master Table'!$B14)</f>
        <v>INSERT INTO Contact_ProductLine_Map (ContactId, ProductLineId, RegionId, IsSales, IsPM, IsUserAdvocate) VALUES ((SELECT ContactId FROM Contact WHERE Name = 'Gaurav Malik'), (SELECT ProductLineId FROM ProductLine WHERE Name = 'Map'), (SELECT RegionID FROM Region WHERE Name = 'ME'),1,0,0);INSERT INTO Contact_ProductLine_Map (ContactId, ProductLineId, RegionId, IsSales, IsPM, IsUserAdvocate) VALUES ((SELECT ContactId FROM Contact WHERE Name = 'Suneet Manjavkar'), (SELECT ProductLineId FROM ProductLine WHERE Name = 'Map'), (SELECT RegionID FROM Region WHERE Name = 'ME'),1,0,0);</v>
      </c>
      <c r="AN14" t="str">
        <f>assignmentSQL('Master Table'!AN14,'Master Table'!AN$1,'Master Table'!$A14,'Master Table'!$B14)</f>
        <v>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'ME'),1,0,0);INSERT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'ME'),1,0,0);</v>
      </c>
      <c r="AO14" t="str">
        <f>assignmentSQL('Master Table'!AO14,'Master Table'!AO$1,'Master Table'!$A14,'Master Table'!$B14)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'ME'),1,0,0);INSERT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'ME'),1,0,0);</v>
      </c>
      <c r="AP14" t="str">
        <f>assignmentSQL('Master Table'!AP14,'Master Table'!AP$1,'Master Table'!$A14,'Master Table'!$B14)</f>
        <v>INSERT INTO Contact_ProductLine_Map (ContactId, ProductLineId, RegionId, IsSales, IsPM, IsUserAdvocate) VALUES ((SELECT ContactId FROM Contact WHERE Name = 'Muhanned Shaweesh'), (SELECT ProductLineId FROM ProductLine WHERE Name = 'Haestad'), (SELECT RegionID FROM Region WHERE Name = 'ME'),1,0,0);INSERT INTO Contact_ProductLine_Map (ContactId, ProductLineId, RegionId, IsSales, IsPM, IsUserAdvocate) VALUES ((SELECT ContactId FROM Contact WHERE Name = 'Henry vanTonder'), (SELECT ProductLineId FROM ProductLine WHERE Name = 'Haestad'), (SELECT RegionID FROM Region WHERE Name = 'ME'),1,0,0);</v>
      </c>
      <c r="AQ14" t="str">
        <f>assignmentSQL('Master Table'!AQ14,'Master Table'!AQ$1,'Master Table'!$A14,'Master Table'!$B14)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'ME'),1,0,0);INSERT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'ME'),1,0,0);</v>
      </c>
      <c r="AR14" t="str">
        <f>assignmentSQL('Master Table'!AR14,'Master Table'!AR$1,'Master Table'!$A14,'Master Table'!$B14)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'ME'),1,0,0);</v>
      </c>
      <c r="AS14" t="str">
        <f>assignmentSQL('Master Table'!AS14,'Master Table'!AS$1,'Master Table'!$A14,'Master Table'!$B14)</f>
        <v>INSERT INTO Contact_ProductLine_Map (ContactId, ProductLineId, RegionId, IsSales, IsPM, IsUserAdvocate) VALUES ((SELECT ContactId FROM Contact WHERE Name = 'George Khoury'), (SELECT ProductLineId FROM ProductLine WHERE Name = 'Amulet'), (SELECT RegionID FROM Region WHERE Name = 'ME'),1,0,0);</v>
      </c>
      <c r="AT14" t="str">
        <f>assignmentSQL('Master Table'!AT14,'Master Table'!AT$1,'Master Table'!$A14,'Master Table'!$B14)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'ME'),1,0,0);</v>
      </c>
      <c r="AU14" t="str">
        <f>assignmentSQL('Master Table'!AU14,'Master Table'!AU$1,'Master Table'!$A14,'Master Table'!$B14)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'ME'),1,0,0);</v>
      </c>
      <c r="AV14" t="str">
        <f>assignmentSQL('Master Table'!AV14,'Master Table'!AV$1,'Master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Design Integration'), (SELECT RegionID FROM Region WHERE Name = 'ME'),1,0,0);</v>
      </c>
      <c r="AW14" t="str">
        <f>assignmentSQL('Master Table'!AW14,'Master Table'!AW$1,'Master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Issues Resolution'), (SELECT RegionID FROM Region WHERE Name = 'ME'),1,0,0);</v>
      </c>
      <c r="AX14" t="str">
        <f>assignmentSQL('Master Table'!AX14,'Master Table'!AX$1,'Master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Explorer Civil 3D Integration Module'), (SELECT RegionID FROM Region WHERE Name = 'ME'),1,0,0);</v>
      </c>
      <c r="AY14" t="str">
        <f>assignmentSQL('Master Table'!AY14,'Master Table'!AY$1,'Master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Explorer Revit Integration Module'), (SELECT RegionID FROM Region WHERE Name = 'ME'),1,0,0);</v>
      </c>
      <c r="AZ14" t="str">
        <f>assignmentSQL('Master Table'!AZ14,'Master Table'!AZ$1,'Master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Explorer Office Integration Module'), (SELECT RegionID FROM Region WHERE Name = 'ME'),1,0,0);</v>
      </c>
      <c r="BA14" t="str">
        <f>assignmentSQL('Master Table'!BA14,'Master Table'!BA$1,'Master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Edge Mobile'), (SELECT RegionID FROM Region WHERE Name = 'ME'),1,0,0);</v>
      </c>
      <c r="BB14" t="str">
        <f>assignmentSQL('Master Table'!BB14,'Master Table'!BB$1,'Master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WorkSite'), (SELECT RegionID FROM Region WHERE Name = 'ME'),1,0,0);</v>
      </c>
      <c r="BC14" t="str">
        <f>assignmentSQL('Master Table'!BC14,'Master Table'!BC$1,'Master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Edge'), (SELECT RegionID FROM Region WHERE Name = 'ME'),1,0,0);</v>
      </c>
      <c r="BD14" t="str">
        <f>assignmentSQL('Master Table'!BD14,'Master Table'!BD$1,'Master Table'!$A14,'Master Table'!$B14)</f>
        <v>INSERT INTO Contact_ProductLine_Map (ContactId, ProductLineId, RegionId, IsSales, IsPM, IsUserAdvocate) VALUES ((SELECT ContactId FROM Contact WHERE Name = 'Ashish Kumar'), (SELECT ProductLineId FROM ProductLine WHERE Name = 'Navigator CE'), (SELECT RegionID FROM Region WHERE Name = 'ME'),1,0,0);</v>
      </c>
      <c r="BE14" t="str">
        <f>assignmentSQL('Master Table'!BE14,'Master Table'!BE$1,'Master Table'!$A14,'Master Table'!$B14)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'ME'),1,0,0);</v>
      </c>
      <c r="BF14" t="str">
        <f>assignmentSQL('Master Table'!BF14,'Master Table'!BF$1,'Master Table'!$A14,'Master Table'!$B14)</f>
        <v>INSERT INTO Contact_ProductLine_Map (ContactId, ProductLineId, RegionId, IsSales, IsPM, IsUserAdvocate) VALUES ((SELECT ContactId FROM Contact WHERE Name = 'Manish Singh'), (SELECT ProductLineId FROM ProductLine WHERE Name = 'EADOC UI Upgrade'), (SELECT RegionID FROM Region WHERE Name = 'ME'),1,0,0);</v>
      </c>
      <c r="BG14" t="str">
        <f>assignmentSQL('Master Table'!BG14,'Master Table'!BG$1,'Master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'Deliverables Management'), (SELECT RegionID FROM Region WHERE Name = 'ME'),1,0,0);</v>
      </c>
      <c r="BH14" t="str">
        <f>assignmentSQL('Master Table'!BH14,'Master Table'!BH$1,'Master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'Bentley Automation Service CONNECT Edition'), (SELECT RegionID FROM Region WHERE Name = 'ME'),1,0,0);</v>
      </c>
      <c r="BI14" t="str">
        <f>assignmentSQL('Master Table'!BI14,'Master Table'!BI$1,'Master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"Field Data Management'), (SELECT RegionID FROM Region WHERE Name = 'ME'),1,0,0);</v>
      </c>
      <c r="BJ14" t="str">
        <f>assignmentSQL('Master Table'!BJ14,'Master Table'!BJ$1,'Master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i-model Composition Server for PDF'), (SELECT RegionID FROM Region WHERE Name = 'ME'),1,0,0);</v>
      </c>
      <c r="BK14" t="str">
        <f>assignmentSQL('Master Table'!BK14,'Master Table'!BK$1,'Master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InterPlot Server and Interplot Organizer'), (SELECT RegionID FROM Region WHERE Name = 'ME'),1,0,0);</v>
      </c>
      <c r="BL14" t="str">
        <f>assignmentSQL('Master Table'!BL14,'Master Table'!BL$1,'Master Table'!$A14,'Master Table'!$B14)</f>
        <v>INSERT INTO Contact_ProductLine_Map (ContactId, ProductLineId, RegionId, IsSales, IsPM, IsUserAdvocate) VALUES ((SELECT ContactId FROM Contact WHERE Name = 'Vivek Kale'), (SELECT ProductLineId FROM ProductLine WHERE Name = 'ProjectWise i-model Composition Server for i-models'), (SELECT RegionID FROM Region WHERE Name = 'ME'),1,0,0);</v>
      </c>
    </row>
    <row r="15" spans="3:64" x14ac:dyDescent="0.25">
      <c r="C15" t="str">
        <f>assignmentSQL('Master Table'!C15,'Master Table'!C$1,'Master Table'!$A15,'Master Table'!$B15)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'ME'),0,1,0);</v>
      </c>
      <c r="D15" t="str">
        <f>assignmentSQL('Master Table'!D15,'Master Table'!D$1,'Master Table'!$A15,'Master Table'!$B15)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'ME'),0,1,0);</v>
      </c>
      <c r="E15" t="str">
        <f>assignmentSQL('Master Table'!E15,'Master Table'!E$1,'Master Table'!$A15,'Master Table'!$B15)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'ME'),0,1,0);INSERT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'ME'),0,1,0);</v>
      </c>
      <c r="F15" t="str">
        <f>assignmentSQL('Master Table'!F15,'Master Table'!F$1,'Master Table'!$A15,'Master Table'!$B15)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'ME'),0,1,0);</v>
      </c>
      <c r="G15" t="str">
        <f>assignmentSQL('Master Table'!G15,'Master Table'!G$1,'Master Table'!$A15,'Master Table'!$B15)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'ME'),0,1,0);</v>
      </c>
      <c r="H15" t="str">
        <f>assignmentSQL('Master Table'!H15,'Master Table'!H$1,'Master Table'!$A15,'Master Table'!$B15)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'ME'),0,1,0);</v>
      </c>
      <c r="I15" t="str">
        <f>assignmentSQL('Master Table'!I15,'Master Table'!I$1,'Master Table'!$A15,'Master Table'!$B15)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'ME'),0,1,0);</v>
      </c>
      <c r="J15" t="str">
        <f>assignmentSQL('Master Table'!J15,'Master Table'!J$1,'Master Table'!$A15,'Master Table'!$B15)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'ME'),0,1,0);</v>
      </c>
      <c r="K15" t="str">
        <f>assignmentSQL('Master Table'!K15,'Master Table'!K$1,'Master Table'!$A15,'Master Table'!$B15)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'ME'),0,1,0);</v>
      </c>
      <c r="L15" t="str">
        <f>assignmentSQL('Master Table'!L15,'Master Table'!L$1,'Master Table'!$A15,'Master Table'!$B15)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'ME'),0,1,0);</v>
      </c>
      <c r="M15" t="str">
        <f>assignmentSQL('Master Table'!M15,'Master Table'!M$1,'Master Table'!$A15,'Master Table'!$B15)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'ME'),0,1,0);</v>
      </c>
      <c r="N15" t="str">
        <f>assignmentSQL('Master Table'!N15,'Master Table'!N$1,'Master Table'!$A15,'Master Table'!$B15)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'ME'),0,1,0);</v>
      </c>
      <c r="O15" t="str">
        <f>assignmentSQL('Master Table'!O15,'Master Table'!O$1,'Master Table'!$A15,'Master Table'!$B15)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'ME'),0,1,0);</v>
      </c>
      <c r="P15" t="str">
        <f>assignmentSQL('Master Table'!P15,'Master Table'!P$1,'Master Table'!$A15,'Master Table'!$B15)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'ME'),0,1,0);</v>
      </c>
      <c r="Q15" t="str">
        <f>assignmentSQL('Master Table'!Q15,'Master Table'!Q$1,'Master Table'!$A15,'Master Table'!$B15)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'ME'),0,1,0);</v>
      </c>
      <c r="R15" t="str">
        <f>assignmentSQL('Master Table'!R15,'Master Table'!R$1,'Master Table'!$A15,'Master Table'!$B15)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'ME'),0,1,0);</v>
      </c>
      <c r="S15" t="str">
        <f>assignmentSQL('Master Table'!S15,'Master Table'!S$1,'Master Table'!$A15,'Master Table'!$B15)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'ME'),0,1,0);</v>
      </c>
      <c r="T15" t="str">
        <f>assignmentSQL('Master Table'!T15,'Master Table'!T$1,'Master Table'!$A15,'Master Table'!$B15)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'ME'),0,1,0);</v>
      </c>
      <c r="U15" t="str">
        <f>assignmentSQL('Master Table'!U15,'Master Table'!U$1,'Master Table'!$A15,'Master Table'!$B15)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'ME'),0,1,0);</v>
      </c>
      <c r="V15" t="str">
        <f>assignmentSQL('Master Table'!V15,'Master Table'!V$1,'Master Table'!$A15,'Master Table'!$B15)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'ME'),0,1,0);</v>
      </c>
      <c r="W15" t="str">
        <f>assignmentSQL('Master Table'!W15,'Master Table'!W$1,'Master Table'!$A15,'Master Table'!$B15)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'ME'),0,1,0);</v>
      </c>
      <c r="X15" t="str">
        <f>assignmentSQL('Master Table'!X15,'Master Table'!X$1,'Master Table'!$A15,'Master Table'!$B15)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'ME'),0,1,0);</v>
      </c>
      <c r="Y15" t="str">
        <f>assignmentSQL('Master Table'!Y15,'Master Table'!Y$1,'Master Table'!$A15,'Master Table'!$B15)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'ME'),0,1,0);</v>
      </c>
      <c r="Z15" t="str">
        <f>assignmentSQL('Master Table'!Z15,'Master Table'!Z$1,'Master Table'!$A15,'Master Table'!$B15)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'ME'),0,1,0);</v>
      </c>
      <c r="AA15" t="str">
        <f>assignmentSQL('Master Table'!AA15,'Master Table'!AA$1,'Master Table'!$A15,'Master Table'!$B15)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'ME'),0,1,0);</v>
      </c>
      <c r="AB15" t="str">
        <f>assignmentSQL('Master Table'!AB15,'Master Table'!AB$1,'Master Table'!$A15,'Master Table'!$B15)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'ME'),0,1,0);</v>
      </c>
      <c r="AC15" t="str">
        <f>assignmentSQL('Master Table'!AC15,'Master Table'!AC$1,'Master Table'!$A15,'Master Table'!$B15)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'ME'),0,1,0);</v>
      </c>
      <c r="AD15" t="str">
        <f>assignmentSQL('Master Table'!AD15,'Master Table'!AD$1,'Master Table'!$A15,'Master Table'!$B15)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'ME'),0,1,0);</v>
      </c>
      <c r="AE15" t="str">
        <f>assignmentSQL('Master Table'!AE15,'Master Table'!AE$1,'Master Table'!$A15,'Master Table'!$B15)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'ME'),0,1,0);</v>
      </c>
      <c r="AF15" t="str">
        <f>assignmentSQL('Master Table'!AF15,'Master Table'!AF$1,'Master Table'!$A15,'Master Table'!$B15)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'ME'),0,1,0);</v>
      </c>
      <c r="AG15" t="str">
        <f>assignmentSQL('Master Table'!AG15,'Master Table'!AG$1,'Master Table'!$A15,'Master Table'!$B15)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'ME'),0,1,0);</v>
      </c>
      <c r="AH15" t="str">
        <f>assignmentSQL('Master Table'!AH15,'Master Table'!AH$1,'Master Table'!$A15,'Master Table'!$B15)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'ME'),0,1,0);</v>
      </c>
      <c r="AI15" t="str">
        <f>assignmentSQL('Master Table'!AI15,'Master Table'!AI$1,'Master Table'!$A15,'Master Table'!$B15)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'ME'),0,1,0);</v>
      </c>
      <c r="AJ15" t="str">
        <f>assignmentSQL('Master Table'!AJ15,'Master Table'!AJ$1,'Master Table'!$A15,'Master Table'!$B15)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'ME'),0,1,0);</v>
      </c>
      <c r="AK15" t="str">
        <f>assignmentSQL('Master Table'!AK15,'Master Table'!AK$1,'Master Table'!$A15,'Master Table'!$B15)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'ME'),0,1,0);</v>
      </c>
      <c r="AL15" t="str">
        <f>assignmentSQL('Master Table'!AL15,'Master Table'!AL$1,'Master Table'!$A15,'Master Table'!$B15)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'ME'),0,1,0);</v>
      </c>
      <c r="AM15" t="str">
        <f>assignmentSQL('Master Table'!AM15,'Master Table'!AM$1,'Master Table'!$A15,'Master Table'!$B15)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'ME'),0,1,0);</v>
      </c>
      <c r="AN15" t="str">
        <f>assignmentSQL('Master Table'!AN15,'Master Table'!AN$1,'Master Table'!$A15,'Master Table'!$B15)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'ME'),0,1,0);</v>
      </c>
      <c r="AO15" t="str">
        <f>assignmentSQL('Master Table'!AO15,'Master Table'!AO$1,'Master Table'!$A15,'Master Table'!$B15)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'ME'),0,1,0);</v>
      </c>
      <c r="AP15" t="str">
        <f>assignmentSQL('Master Table'!AP15,'Master Table'!AP$1,'Master Table'!$A15,'Master Table'!$B15)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'ME'),0,1,0);</v>
      </c>
      <c r="AQ15" t="str">
        <f>assignmentSQL('Master Table'!AQ15,'Master Table'!AQ$1,'Master Table'!$A15,'Master Table'!$B15)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'ME'),0,1,0);</v>
      </c>
      <c r="AR15" t="str">
        <f>assignmentSQL('Master Table'!AR15,'Master Table'!AR$1,'Master Table'!$A15,'Master Table'!$B15)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'ME'),0,1,0);</v>
      </c>
      <c r="AS15" t="str">
        <f>assignmentSQL('Master Table'!AS15,'Master Table'!AS$1,'Master Table'!$A15,'Master Table'!$B15)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'ME'),0,1,0);</v>
      </c>
      <c r="AT15" t="str">
        <f>assignmentSQL('Master Table'!AT15,'Master Table'!AT$1,'Master Table'!$A15,'Master Table'!$B15)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'ME'),0,1,0);</v>
      </c>
      <c r="AU15" t="str">
        <f>assignmentSQL('Master Table'!AU15,'Master Table'!AU$1,'Master Table'!$A15,'Master Table'!$B15)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'ME'),0,1,0);</v>
      </c>
      <c r="AV15" t="str">
        <f>assignmentSQL('Master Table'!AV15,'Master Table'!AV$1,'Master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'ME'),0,1,0);</v>
      </c>
      <c r="AW15" t="str">
        <f>assignmentSQL('Master Table'!AW15,'Master Table'!AW$1,'Master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'ME'),0,1,0);</v>
      </c>
      <c r="AX15" t="str">
        <f>assignmentSQL('Master Table'!AX15,'Master Table'!AX$1,'Master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'ME'),0,1,0);</v>
      </c>
      <c r="AY15" t="str">
        <f>assignmentSQL('Master Table'!AY15,'Master Table'!AY$1,'Master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'ME'),0,1,0);</v>
      </c>
      <c r="AZ15" t="str">
        <f>assignmentSQL('Master Table'!AZ15,'Master Table'!AZ$1,'Master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'ME'),0,1,0);</v>
      </c>
      <c r="BA15" t="str">
        <f>assignmentSQL('Master Table'!BA15,'Master Table'!BA$1,'Master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'ME'),0,1,0);INSERT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'ME'),0,1,0);</v>
      </c>
      <c r="BB15" t="str">
        <f>assignmentSQL('Master Table'!BB15,'Master Table'!BB$1,'Master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'ME'),0,1,0);INSERT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'ME'),0,1,0);</v>
      </c>
      <c r="BC15" t="str">
        <f>assignmentSQL('Master Table'!BC15,'Master Table'!BC$1,'Master Table'!$A15,'Master Table'!$B15)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'ME'),0,1,0);INSERT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'ME'),0,1,0);</v>
      </c>
      <c r="BD15" t="str">
        <f>assignmentSQL('Master Table'!BD15,'Master Table'!BD$1,'Master Table'!$A15,'Master Table'!$B15)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'ME'),0,1,0);</v>
      </c>
      <c r="BE15" t="str">
        <f>assignmentSQL('Master Table'!BE15,'Master Table'!BE$1,'Master Table'!$A15,'Master Table'!$B15)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'ME'),0,1,0);</v>
      </c>
      <c r="BF15" t="str">
        <f>assignmentSQL('Master Table'!BF15,'Master Table'!BF$1,'Master Table'!$A15,'Master Table'!$B15)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'ME'),0,1,0);</v>
      </c>
      <c r="BG15" t="str">
        <f>assignmentSQL('Master Table'!BG15,'Master Table'!BG$1,'Master Table'!$A15,'Master Table'!$B15)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'ME'),0,1,0);</v>
      </c>
      <c r="BH15" t="str">
        <f>assignmentSQL('Master Table'!BH15,'Master Table'!BH$1,'Master Table'!$A15,'Master Table'!$B15)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'ME'),0,1,0);</v>
      </c>
      <c r="BI15" t="str">
        <f>assignmentSQL('Master Table'!BI15,'Master Table'!BI$1,'Master Table'!$A15,'Master Table'!$B15)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'ME'),0,1,0);</v>
      </c>
      <c r="BJ15" t="str">
        <f>assignmentSQL('Master Table'!BJ15,'Master Table'!BJ$1,'Master Table'!$A15,'Master Table'!$B15)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'ME'),0,1,0);</v>
      </c>
      <c r="BK15" t="str">
        <f>assignmentSQL('Master Table'!BK15,'Master Table'!BK$1,'Master Table'!$A15,'Master Table'!$B15)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'ME'),0,1,0);</v>
      </c>
      <c r="BL15" t="str">
        <f>assignmentSQL('Master Table'!BL15,'Master Table'!BL$1,'Master Table'!$A15,'Master Table'!$B15)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'ME'),0,1,0);</v>
      </c>
    </row>
    <row r="16" spans="3:64" x14ac:dyDescent="0.25">
      <c r="C16" t="str">
        <f>assignmentSQL('Master Table'!C16,'Master Table'!C$1,'Master Table'!$A16,'Master Table'!$B16)</f>
        <v>INSERT INTO Contact_ProductLine_Map (ContactId, ProductLineId, RegionId, IsSales, IsPM, IsUserAdvocate) VALUES ((SELECT ContactId FROM Contact WHERE Name = 'Badr Ziane'), (SELECT ProductLineId FROM ProductLine WHERE Name = 'STAAD'), (SELECT RegionID FROM Region WHERE Name = 'ME'),0,0,1);</v>
      </c>
      <c r="D16" t="str">
        <f>assignmentSQL('Master Table'!D16,'Master Table'!D$1,'Master Table'!$A16,'Master Table'!$B16)</f>
        <v>INSERT INTO Contact_ProductLine_Map (ContactId, ProductLineId, RegionId, IsSales, IsPM, IsUserAdvocate) VALUES ((SELECT ContactId FROM Contact WHERE Name = 'Richard Tully'), (SELECT ProductLineId FROM ProductLine WHERE Name = 'RAM'), (SELECT RegionID FROM Region WHERE Name = 'ME'),0,0,1);</v>
      </c>
      <c r="E16" t="str">
        <f>assignmentSQL('Master Table'!E16,'Master Table'!E$1,'Master Table'!$A16,'Master Table'!$B16)</f>
        <v/>
      </c>
      <c r="F16" t="str">
        <f>assignmentSQL('Master Table'!F16,'Master Table'!F$1,'Master Table'!$A16,'Master Table'!$B16)</f>
        <v>INSERT INTO Contact_ProductLine_Map (ContactId, ProductLineId, RegionId, IsSales, IsPM, IsUserAdvocate) VALUES ((SELECT ContactId FROM Contact WHERE Name = 'Aby Paul'), (SELECT ProductLineId FROM ProductLine WHERE Name = 'SACS'), (SELECT RegionID FROM Region WHERE Name = 'ME'),0,0,1);</v>
      </c>
      <c r="G16" t="str">
        <f>assignmentSQL('Master Table'!G16,'Master Table'!G$1,'Master Table'!$A16,'Master Table'!$B16)</f>
        <v>INSERT INTO Contact_ProductLine_Map (ContactId, ProductLineId, RegionId, IsSales, IsPM, IsUserAdvocate) VALUES ((SELECT ContactId FROM Contact WHERE Name = 'Aby Paul'), (SELECT ProductLineId FROM ProductLine WHERE Name = 'MAXSURF'), (SELECT RegionID FROM Region WHERE Name = 'ME'),0,0,1);</v>
      </c>
      <c r="H16" t="str">
        <f>assignmentSQL('Master Table'!H16,'Master Table'!H$1,'Master Table'!$A16,'Master Table'!$B16)</f>
        <v>INSERT INTO Contact_ProductLine_Map (ContactId, ProductLineId, RegionId, IsSales, IsPM, IsUserAdvocate) VALUES ((SELECT ContactId FROM Contact WHERE Name = 'Aby Paul'), (SELECT ProductLineId FROM ProductLine WHERE Name = 'MOSES'), (SELECT RegionID FROM Region WHERE Name = 'ME'),0,0,1);</v>
      </c>
      <c r="I16" t="str">
        <f>assignmentSQL('Master Table'!I16,'Master Table'!I$1,'Master Table'!$A16,'Master Table'!$B16)</f>
        <v>INSERT INTO Contact_ProductLine_Map (ContactId, ProductLineId, RegionId, IsSales, IsPM, IsUserAdvocate) VALUES ((SELECT ContactId FROM Contact WHERE Name = 'JP Chanard'), (SELECT ProductLineId FROM ProductLine WHERE Name = 'RM'), (SELECT RegionID FROM Region WHERE Name = 'ME'),0,0,1);</v>
      </c>
      <c r="J16" t="str">
        <f>assignmentSQL('Master Table'!J16,'Master Table'!J$1,'Master Table'!$A16,'Master Table'!$B16)</f>
        <v>INSERT INTO Contact_ProductLine_Map (ContactId, ProductLineId, RegionId, IsSales, IsPM, IsUserAdvocate) VALUES ((SELECT ContactId FROM Contact WHERE Name = 'JP Chanard'), (SELECT ProductLineId FROM ProductLine WHERE Name = 'LEAP'), (SELECT RegionID FROM Region WHERE Name = 'ME'),0,0,1);</v>
      </c>
      <c r="K16" t="str">
        <f>assignmentSQL('Master Table'!K16,'Master Table'!K$1,'Master Table'!$A16,'Master Table'!$B16)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'ME'),0,0,1);</v>
      </c>
      <c r="L16" t="str">
        <f>assignmentSQL('Master Table'!L16,'Master Table'!L$1,'Master Table'!$A16,'Master Table'!$B16)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'ME'),0,0,1);</v>
      </c>
      <c r="M16" t="str">
        <f>assignmentSQL('Master Table'!M16,'Master Table'!M$1,'Master Table'!$A16,'Master Table'!$B16)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'ME'),0,0,1);</v>
      </c>
      <c r="N16" t="str">
        <f>assignmentSQL('Master Table'!N16,'Master Table'!N$1,'Master Table'!$A16,'Master Table'!$B16)</f>
        <v>INSERT INTO Contact_ProductLine_Map (ContactId, ProductLineId, RegionId, IsSales, IsPM, IsUserAdvocate) VALUES ((SELECT ContactId FROM Contact WHERE Name = 'Mohammed Alqaq'), (SELECT ProductLineId FROM ProductLine WHERE Name = 'AECOsim Building Designer'), (SELECT RegionID FROM Region WHERE Name = 'ME'),0,0,1);</v>
      </c>
      <c r="O16" t="str">
        <f>assignmentSQL('Master Table'!O16,'Master Table'!O$1,'Master Table'!$A16,'Master Table'!$B16)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'ME'),0,0,1);</v>
      </c>
      <c r="P16" t="str">
        <f>assignmentSQL('Master Table'!P16,'Master Table'!P$1,'Master Table'!$A16,'Master Table'!$B16)</f>
        <v>INSERT INTO Contact_ProductLine_Map (ContactId, ProductLineId, RegionId, IsSales, IsPM, IsUserAdvocate) VALUES ((SELECT ContactId FROM Contact WHERE Name = 'Ahmed Fahmy'), (SELECT ProductLineId FROM ProductLine WHERE Name = 'Hevacomp'), (SELECT RegionID FROM Region WHERE Name = 'ME'),0,0,1);</v>
      </c>
      <c r="Q16" t="str">
        <f>assignmentSQL('Master Table'!Q16,'Master Table'!Q$1,'Master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'GEOPAK'), (SELECT RegionID FROM Region WHERE Name = 'ME'),0,0,1);</v>
      </c>
      <c r="R16" t="str">
        <f>assignmentSQL('Master Table'!R16,'Master Table'!R$1,'Master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'InRoads'), (SELECT RegionID FROM Region WHERE Name = 'ME'),0,0,1);</v>
      </c>
      <c r="S16" t="str">
        <f>assignmentSQL('Master Table'!S16,'Master Table'!S$1,'Master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'MX'), (SELECT RegionID FROM Region WHERE Name = 'ME'),0,0,1);</v>
      </c>
      <c r="T16" t="str">
        <f>assignmentSQL('Master Table'!T16,'Master Table'!T$1,'Master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'ME'),0,0,1);</v>
      </c>
      <c r="U16" t="str">
        <f>assignmentSQL('Master Table'!U16,'Master Table'!U$1,'Master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'OpenRoads'), (SELECT RegionID FROM Region WHERE Name = 'ME'),0,0,1);</v>
      </c>
      <c r="V16" t="str">
        <f>assignmentSQL('Master Table'!V16,'Master Table'!V$1,'Master Table'!$A16,'Master Table'!$B16)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'ME'),0,0,1);</v>
      </c>
      <c r="W16" t="str">
        <f>assignmentSQL('Master Table'!W16,'Master Table'!W$1,'Master Table'!$A16,'Master Table'!$B16)</f>
        <v>INSERT INTO Contact_ProductLine_Map (ContactId, ProductLineId, RegionId, IsSales, IsPM, IsUserAdvocate) VALUES ((SELECT ContactId FROM Contact WHERE Name = 'Eva Cantarero'), (SELECT ProductLineId FROM ProductLine WHERE Name = 'gINT'), (SELECT RegionID FROM Region WHERE Name = 'ME'),0,0,1);</v>
      </c>
      <c r="X16" t="str">
        <f>assignmentSQL('Master Table'!X16,'Master Table'!X$1,'Master Table'!$A16,'Master Table'!$B16)</f>
        <v>INSERT INTO Contact_ProductLine_Map (ContactId, ProductLineId, RegionId, IsSales, IsPM, IsUserAdvocate) VALUES ((SELECT ContactId FROM Contact WHERE Name = 'Rahul Gurav'), (SELECT ProductLineId FROM ProductLine WHERE Name = 'AutoPLANT'), (SELECT RegionID FROM Region WHERE Name = 'ME'),0,0,1);</v>
      </c>
      <c r="Y16" t="str">
        <f>assignmentSQL('Master Table'!Y16,'Master Table'!Y$1,'Master Table'!$A16,'Master Table'!$B16)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'ME'),0,0,1);</v>
      </c>
      <c r="Z16" t="str">
        <f>assignmentSQL('Master Table'!Z16,'Master Table'!Z$1,'Master Table'!$A16,'Master Table'!$B16)</f>
        <v>INSERT INTO Contact_ProductLine_Map (ContactId, ProductLineId, RegionId, IsSales, IsPM, IsUserAdvocate) VALUES ((SELECT ContactId FROM Contact WHERE Name = 'Rahul Gurav'), (SELECT ProductLineId FROM ProductLine WHERE Name = 'OpenPlant'), (SELECT RegionID FROM Region WHERE Name = 'ME'),0,0,1);</v>
      </c>
      <c r="AA16" t="str">
        <f>assignmentSQL('Master Table'!AA16,'Master Table'!AA$1,'Master Table'!$A16,'Master Table'!$B16)</f>
        <v>INSERT INTO Contact_ProductLine_Map (ContactId, ProductLineId, RegionId, IsSales, IsPM, IsUserAdvocate) VALUES ((SELECT ContactId FROM Contact WHERE Name = 'Kamal Batcha'), (SELECT ProductLineId FROM ProductLine WHERE Name = 'PlantSpace'), (SELECT RegionID FROM Region WHERE Name = 'ME'),0,0,1);</v>
      </c>
      <c r="AB16" t="str">
        <f>assignmentSQL('Master Table'!AB16,'Master Table'!AB$1,'Master Table'!$A16,'Master Table'!$B16)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'ME'),0,0,1);</v>
      </c>
      <c r="AC16" t="str">
        <f>assignmentSQL('Master Table'!AC16,'Master Table'!AC$1,'Master Table'!$A16,'Master Table'!$B16)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'ME'),0,0,1);</v>
      </c>
      <c r="AD16" t="str">
        <f>assignmentSQL('Master Table'!AD16,'Master Table'!AD$1,'Master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'Pointools'), (SELECT RegionID FROM Region WHERE Name = 'ME'),0,0,1);</v>
      </c>
      <c r="AE16" t="str">
        <f>assignmentSQL('Master Table'!AE16,'Master Table'!AE$1,'Master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'LumenRT'), (SELECT RegionID FROM Region WHERE Name = 'ME'),0,0,1);</v>
      </c>
      <c r="AF16" t="str">
        <f>assignmentSQL('Master Table'!AF16,'Master Table'!AF$1,'Master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'ContextCapture'), (SELECT RegionID FROM Region WHERE Name = 'ME'),0,0,1);</v>
      </c>
      <c r="AG16" t="str">
        <f>assignmentSQL('Master Table'!AG16,'Master Table'!AG$1,'Master Table'!$A16,'Master Table'!$B16)</f>
        <v>INSERT INTO Contact_ProductLine_Map (ContactId, ProductLineId, RegionId, IsSales, IsPM, IsUserAdvocate) VALUES ((SELECT ContactId FROM Contact WHERE Name = 'Kivanc Karakas'), (SELECT ProductLineId FROM ProductLine WHERE Name = 'Descartes'), (SELECT RegionID FROM Region WHERE Name = 'ME'),0,0,1);</v>
      </c>
      <c r="AH16" t="str">
        <f>assignmentSQL('Master Table'!AH16,'Master Table'!AH$1,'Master Table'!$A16,'Master Table'!$B16)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'ME'),0,0,1);</v>
      </c>
      <c r="AI16" t="str">
        <f>assignmentSQL('Master Table'!AI16,'Master Table'!AI$1,'Master Table'!$A16,'Master Table'!$B16)</f>
        <v/>
      </c>
      <c r="AJ16" t="str">
        <f>assignmentSQL('Master Table'!AJ16,'Master Table'!AJ$1,'Master Table'!$A16,'Master Table'!$B16)</f>
        <v>INSERT INTO Contact_ProductLine_Map (ContactId, ProductLineId, RegionId, IsSales, IsPM, IsUserAdvocate) VALUES ((SELECT ContactId FROM Contact WHERE Name = 'Ralph Schopen'), (SELECT ProductLineId FROM ProductLine WHERE Name = 'AssetWise'), (SELECT RegionID FROM Region WHERE Name = 'ME'),0,0,1);</v>
      </c>
      <c r="AK16" t="str">
        <f>assignmentSQL('Master Table'!AK16,'Master Table'!AK$1,'Master Table'!$A16,'Master Table'!$B16)</f>
        <v>INSERT INTO Contact_ProductLine_Map (ContactId, ProductLineId, RegionId, IsSales, IsPM, IsUserAdvocate) VALUES ((SELECT ContactId FROM Contact WHERE Name = 'Harrie van Mullekom'), (SELECT ProductLineId FROM ProductLine WHERE Name = 'AssetWise APM'), (SELECT RegionID FROM Region WHERE Name = 'ME'),0,0,1);</v>
      </c>
      <c r="AL16" t="str">
        <f>assignmentSQL('Master Table'!AL16,'Master Table'!AL$1,'Master Table'!$A16,'Master Table'!$B16)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'ME'),0,0,1);</v>
      </c>
      <c r="AM16" t="str">
        <f>assignmentSQL('Master Table'!AM16,'Master Table'!AM$1,'Master Table'!$A16,'Master Table'!$B16)</f>
        <v>INSERT INTO Contact_ProductLine_Map (ContactId, ProductLineId, RegionId, IsSales, IsPM, IsUserAdvocate) VALUES ((SELECT ContactId FROM Contact WHERE Name = 'Johannes Klick'), (SELECT ProductLineId FROM ProductLine WHERE Name = 'Map'), (SELECT RegionID FROM Region WHERE Name = 'ME'),0,0,1);</v>
      </c>
      <c r="AN16" t="str">
        <f>assignmentSQL('Master Table'!AN16,'Master Table'!AN$1,'Master Table'!$A16,'Master Table'!$B16)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'ME'),0,0,1);</v>
      </c>
      <c r="AO16" t="str">
        <f>assignmentSQL('Master Table'!AO16,'Master Table'!AO$1,'Master Table'!$A16,'Master Table'!$B16)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'ME'),0,0,1);</v>
      </c>
      <c r="AP16" t="str">
        <f>assignmentSQL('Master Table'!AP16,'Master Table'!AP$1,'Master Table'!$A16,'Master Table'!$B16)</f>
        <v>INSERT INTO Contact_ProductLine_Map (ContactId, ProductLineId, RegionId, IsSales, IsPM, IsUserAdvocate) VALUES ((SELECT ContactId FROM Contact WHERE Name = 'MSV Rao'), (SELECT ProductLineId FROM ProductLine WHERE Name = 'Haestad'), (SELECT RegionID FROM Region WHERE Name = 'ME'),0,0,1);</v>
      </c>
      <c r="AQ16" t="str">
        <f>assignmentSQL('Master Table'!AQ16,'Master Table'!AQ$1,'Master Table'!$A16,'Master Table'!$B16)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'ME'),0,0,1);</v>
      </c>
      <c r="AR16" t="str">
        <f>assignmentSQL('Master Table'!AR16,'Master Table'!AR$1,'Master Table'!$A16,'Master Table'!$B16)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'ME'),0,0,1);</v>
      </c>
      <c r="AS16" t="str">
        <f>assignmentSQL('Master Table'!AS16,'Master Table'!AS$1,'Master Table'!$A16,'Master Table'!$B16)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'ME'),0,0,1);</v>
      </c>
      <c r="AT16" t="str">
        <f>assignmentSQL('Master Table'!AT16,'Master Table'!AT$1,'Master Table'!$A16,'Master Table'!$B16)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'ME'),0,0,1);</v>
      </c>
      <c r="AU16" t="str">
        <f>assignmentSQL('Master Table'!AU16,'Master Table'!AU$1,'Master Table'!$A16,'Master Table'!$B16)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'ME'),0,0,1);</v>
      </c>
      <c r="AV16" t="str">
        <f>assignmentSQL('Master Table'!AV16,'Master Table'!AV$1,'Master Table'!$A16,'Master Table'!$B16)</f>
        <v>INSERT INTO Contact_ProductLine_Map (ContactId, ProductLineId, RegionId, IsSales, IsPM, IsUserAdvocate) VALUES ((SELECT ContactId FROM Contact WHERE Name = 'Arturas Zidonis'), (SELECT ProductLineId FROM ProductLine WHERE Name = 'ProjectWise Design Integration'), (SELECT RegionID FROM Region WHERE Name = 'ME'),0,0,1);</v>
      </c>
      <c r="AW16" t="str">
        <f>assignmentSQL('Master Table'!AW16,'Master Table'!AW$1,'Master Table'!$A16,'Master Table'!$B16)</f>
        <v>INSERT INTO Contact_ProductLine_Map (ContactId, ProductLineId, RegionId, IsSales, IsPM, IsUserAdvocate) VALUES ((SELECT ContactId FROM Contact WHERE Name = 'Justinas Verbickas'), (SELECT ProductLineId FROM ProductLine WHERE Name = 'ProjectWise Issues Resolution'), (SELECT RegionID FROM Region WHERE Name = 'ME'),0,0,1);</v>
      </c>
      <c r="AX16" t="str">
        <f>assignmentSQL('Master Table'!AX16,'Master Table'!AX$1,'Master Table'!$A16,'Master Table'!$B16)</f>
        <v>INSERT INTO Contact_ProductLine_Map (ContactId, ProductLineId, RegionId, IsSales, IsPM, IsUserAdvocate) VALUES ((SELECT ContactId FROM Contact WHERE Name = 'Arturas Zidonis'), (SELECT ProductLineId FROM ProductLine WHERE Name = 'ProjectWise Explorer Civil 3D Integration Module'), (SELECT RegionID FROM Region WHERE Name = 'ME'),0,0,1);</v>
      </c>
      <c r="AY16" t="str">
        <f>assignmentSQL('Master Table'!AY16,'Master Table'!AY$1,'Master Table'!$A16,'Master Table'!$B16)</f>
        <v>INSERT INTO Contact_ProductLine_Map (ContactId, ProductLineId, RegionId, IsSales, IsPM, IsUserAdvocate) VALUES ((SELECT ContactId FROM Contact WHERE Name = 'Amol Sonawane'), (SELECT ProductLineId FROM ProductLine WHERE Name = 'ProjectWise Explorer Revit Integration Module'), (SELECT RegionID FROM Region WHERE Name = 'ME'),0,0,1);</v>
      </c>
      <c r="AZ16" t="str">
        <f>assignmentSQL('Master Table'!AZ16,'Master Table'!AZ$1,'Master Table'!$A16,'Master Table'!$B16)</f>
        <v>INSERT INTO Contact_ProductLine_Map (ContactId, ProductLineId, RegionId, IsSales, IsPM, IsUserAdvocate) VALUES ((SELECT ContactId FROM Contact WHERE Name = 'Arturas Zidonis'), (SELECT ProductLineId FROM ProductLine WHERE Name = 'ProjectWise Explorer Office Integration Module'), (SELECT RegionID FROM Region WHERE Name = 'ME'),0,0,1);</v>
      </c>
      <c r="BA16" t="str">
        <f>assignmentSQL('Master Table'!BA16,'Master Table'!BA$1,'Master Table'!$A16,'Master Table'!$B16)</f>
        <v>INSERT INTO Contact_ProductLine_Map (ContactId, ProductLineId, RegionId, IsSales, IsPM, IsUserAdvocate) VALUES ((SELECT ContactId FROM Contact WHERE Name = 'Justinas Verbickas'), (SELECT ProductLineId FROM ProductLine WHERE Name = 'ProjectWise Edge Mobile'), (SELECT RegionID FROM Region WHERE Name = 'ME'),0,0,1);</v>
      </c>
      <c r="BB16" t="str">
        <f>assignmentSQL('Master Table'!BB16,'Master Table'!BB$1,'Master Table'!$A16,'Master Table'!$B16)</f>
        <v>INSERT INTO Contact_ProductLine_Map (ContactId, ProductLineId, RegionId, IsSales, IsPM, IsUserAdvocate) VALUES ((SELECT ContactId FROM Contact WHERE Name = 'Justinas Verbickas'), (SELECT ProductLineId FROM ProductLine WHERE Name = 'ProjectWise WorkSite'), (SELECT RegionID FROM Region WHERE Name = 'ME'),0,0,1);</v>
      </c>
      <c r="BC16" t="str">
        <f>assignmentSQL('Master Table'!BC16,'Master Table'!BC$1,'Master Table'!$A16,'Master Table'!$B16)</f>
        <v>INSERT INTO Contact_ProductLine_Map (ContactId, ProductLineId, RegionId, IsSales, IsPM, IsUserAdvocate) VALUES ((SELECT ContactId FROM Contact WHERE Name = 'Justinas Verbickas'), (SELECT ProductLineId FROM ProductLine WHERE Name = 'ProjectWise Edge'), (SELECT RegionID FROM Region WHERE Name = 'ME'),0,0,1);</v>
      </c>
      <c r="BD16" t="str">
        <f>assignmentSQL('Master Table'!BD16,'Master Table'!BD$1,'Master Table'!$A16,'Master Table'!$B16)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'ME'),0,0,1);</v>
      </c>
      <c r="BE16" t="str">
        <f>assignmentSQL('Master Table'!BE16,'Master Table'!BE$1,'Master Table'!$A16,'Master Table'!$B16)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'ME'),0,0,1);</v>
      </c>
      <c r="BF16" t="str">
        <f>assignmentSQL('Master Table'!BF16,'Master Table'!BF$1,'Master Table'!$A16,'Master Table'!$B16)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'ME'),0,0,1);</v>
      </c>
      <c r="BG16" t="str">
        <f>assignmentSQL('Master Table'!BG16,'Master Table'!BG$1,'Master Table'!$A16,'Master Table'!$B16)</f>
        <v>INSERT INTO Contact_ProductLine_Map (ContactId, ProductLineId, RegionId, IsSales, IsPM, IsUserAdvocate) VALUES ((SELECT ContactId FROM Contact WHERE Name = 'Arturas Baranauskas'), (SELECT ProductLineId FROM ProductLine WHERE Name = 'Deliverables Management'), (SELECT RegionID FROM Region WHERE Name = 'ME'),0,0,1);</v>
      </c>
      <c r="BH16" t="str">
        <f>assignmentSQL('Master Table'!BH16,'Master Table'!BH$1,'Master Table'!$A16,'Master Table'!$B16)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'ME'),0,0,1);</v>
      </c>
      <c r="BI16" t="str">
        <f>assignmentSQL('Master Table'!BI16,'Master Table'!BI$1,'Master Table'!$A16,'Master Table'!$B16)</f>
        <v>INSERT INTO Contact_ProductLine_Map (ContactId, ProductLineId, RegionId, IsSales, IsPM, IsUserAdvocate) VALUES ((SELECT ContactId FROM Contact WHERE Name = 'Justinas Verbickas'), (SELECT ProductLineId FROM ProductLine WHERE Name = 'ProjectWise "Field Data Management'), (SELECT RegionID FROM Region WHERE Name = 'ME'),0,0,1);</v>
      </c>
      <c r="BJ16" t="str">
        <f>assignmentSQL('Master Table'!BJ16,'Master Table'!BJ$1,'Master Table'!$A16,'Master Table'!$B16)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'ME'),0,0,1);</v>
      </c>
      <c r="BK16" t="str">
        <f>assignmentSQL('Master Table'!BK16,'Master Table'!BK$1,'Master Table'!$A16,'Master Table'!$B16)</f>
        <v>INSERT INTO Contact_ProductLine_Map (ContactId, ProductLineId, RegionId, IsSales, IsPM, IsUserAdvocate) VALUES ((SELECT ContactId FROM Contact WHERE Name = 'Evert de Jong'), (SELECT ProductLineId FROM ProductLine WHERE Name = 'ProjectWise InterPlot Server and Interplot Organizer'), (SELECT RegionID FROM Region WHERE Name = 'ME'),0,0,1);</v>
      </c>
      <c r="BL16" t="str">
        <f>assignmentSQL('Master Table'!BL16,'Master Table'!BL$1,'Master Table'!$A16,'Master Table'!$B16)</f>
        <v>INSERT INTO Contact_ProductLine_Map (ContactId, ProductLineId, RegionId, IsSales, IsPM, IsUserAdvocate) VALUES ((SELECT ContactId FROM Contact WHERE Name = 'Evert de Jong'), (SELECT ProductLineId FROM ProductLine WHERE Name = 'ProjectWise i-model Composition Server for i-models'), (SELECT RegionID FROM Region WHERE Name = 'ME'),0,0,1);</v>
      </c>
    </row>
    <row r="17" spans="3:64" x14ac:dyDescent="0.25">
      <c r="C17" t="str">
        <f>assignmentSQL('Master Table'!C17,'Master Table'!C$1,'Master Table'!$A17,'Master Table'!$B17)</f>
        <v>INSERT INTO Contact_ProductLine_Map (ContactId, ProductLineId, RegionId, IsSales, IsPM, IsUserAdvocate) VALUES ((SELECT ContactId FROM Contact WHERE Name = 'David McGovern'), (SELECT ProductLineId FROM ProductLine WHERE Name = 'STAAD'), (SELECT RegionID FROM Region WHERE Name = 'UK'),1,0,0);</v>
      </c>
      <c r="D17" t="str">
        <f>assignmentSQL('Master Table'!D17,'Master Table'!D$1,'Master Table'!$A17,'Master Table'!$B17)</f>
        <v>INSERT INTO Contact_ProductLine_Map (ContactId, ProductLineId, RegionId, IsSales, IsPM, IsUserAdvocate) VALUES ((SELECT ContactId FROM Contact WHERE Name = 'David McGovern'), (SELECT ProductLineId FROM ProductLine WHERE Name = 'RAM'), (SELECT RegionID FROM Region WHERE Name = 'UK'),1,0,0);</v>
      </c>
      <c r="E17" t="str">
        <f>assignmentSQL('Master Table'!E17,'Master Table'!E$1,'Master Table'!$A17,'Master Table'!$B17)</f>
        <v>INSERT INTO Contact_ProductLine_Map (ContactId, ProductLineId, RegionId, IsSales, IsPM, IsUserAdvocate) VALUES ((SELECT ContactId FROM Contact WHERE Name = 'David McGovern'), (SELECT ProductLineId FROM ProductLine WHERE Name = 'AUTOPIPE'), (SELECT RegionID FROM Region WHERE Name = 'UK'),1,0,0);</v>
      </c>
      <c r="F17" t="str">
        <f>assignmentSQL('Master Table'!F17,'Master Table'!F$1,'Master Table'!$A17,'Master Table'!$B17)</f>
        <v>INSERT INTO Contact_ProductLine_Map (ContactId, ProductLineId, RegionId, IsSales, IsPM, IsUserAdvocate) VALUES ((SELECT ContactId FROM Contact WHERE Name = 'David McGovern'), (SELECT ProductLineId FROM ProductLine WHERE Name = 'SACS'), (SELECT RegionID FROM Region WHERE Name = 'UK'),1,0,0);</v>
      </c>
      <c r="G17" t="str">
        <f>assignmentSQL('Master Table'!G17,'Master Table'!G$1,'Master Table'!$A17,'Master Table'!$B17)</f>
        <v>INSERT INTO Contact_ProductLine_Map (ContactId, ProductLineId, RegionId, IsSales, IsPM, IsUserAdvocate) VALUES ((SELECT ContactId FROM Contact WHERE Name = 'David McGovern'), (SELECT ProductLineId FROM ProductLine WHERE Name = 'MAXSURF'), (SELECT RegionID FROM Region WHERE Name = 'UK'),1,0,0);</v>
      </c>
      <c r="H17" t="str">
        <f>assignmentSQL('Master Table'!H17,'Master Table'!H$1,'Master Table'!$A17,'Master Table'!$B17)</f>
        <v>INSERT INTO Contact_ProductLine_Map (ContactId, ProductLineId, RegionId, IsSales, IsPM, IsUserAdvocate) VALUES ((SELECT ContactId FROM Contact WHERE Name = 'David McGovern'), (SELECT ProductLineId FROM ProductLine WHERE Name = 'MOSES'), (SELECT RegionID FROM Region WHERE Name = 'UK'),1,0,0);</v>
      </c>
      <c r="I17" t="str">
        <f>assignmentSQL('Master Table'!I17,'Master Table'!I$1,'Master Table'!$A17,'Master Table'!$B17)</f>
        <v/>
      </c>
      <c r="J17" t="str">
        <f>assignmentSQL('Master Table'!J17,'Master Table'!J$1,'Master Table'!$A17,'Master Table'!$B17)</f>
        <v/>
      </c>
      <c r="K17" t="str">
        <f>assignmentSQL('Master Table'!K17,'Master Table'!K$1,'Master Table'!$A17,'Master Table'!$B17)</f>
        <v/>
      </c>
      <c r="L17" t="str">
        <f>assignmentSQL('Master Table'!L17,'Master Table'!L$1,'Master Table'!$A17,'Master Table'!$B17)</f>
        <v/>
      </c>
      <c r="M17" t="str">
        <f>assignmentSQL('Master Table'!M17,'Master Table'!M$1,'Master Table'!$A17,'Master Table'!$B17)</f>
        <v>INSERT INTO Contact_ProductLine_Map (ContactId, ProductLineId, RegionId, IsSales, IsPM, IsUserAdvocate) VALUES ((SELECT ContactId FROM Contact WHERE Name = 'David McGovern'), (SELECT ProductLineId FROM ProductLine WHERE Name = 'SITEOPS'), (SELECT RegionID FROM Region WHERE Name = 'UK'),1,0,0);</v>
      </c>
      <c r="N17" t="str">
        <f>assignmentSQL('Master Table'!N17,'Master Table'!N$1,'Master Table'!$A17,'Master Table'!$B17)</f>
        <v>INSERT INTO Contact_ProductLine_Map (ContactId, ProductLineId, RegionId, IsSales, IsPM, IsUserAdvocate) VALUES ((SELECT ContactId FROM Contact WHERE Name = 'Robert Wasson'), (SELECT ProductLineId FROM ProductLine WHERE Name = 'AECOsim Building Designer'), (SELECT RegionID FROM Region WHERE Name = 'UK'),1,0,0);</v>
      </c>
      <c r="O17" t="str">
        <f>assignmentSQL('Master Table'!O17,'Master Table'!O$1,'Master Table'!$A17,'Master Table'!$B17)</f>
        <v>INSERT INTO Contact_ProductLine_Map (ContactId, ProductLineId, RegionId, IsSales, IsPM, IsUserAdvocate) VALUES ((SELECT ContactId FROM Contact WHERE Name = 'Robert Wasson'), (SELECT ProductLineId FROM ProductLine WHERE Name = 'speedikon'), (SELECT RegionID FROM Region WHERE Name = 'UK'),1,0,0);</v>
      </c>
      <c r="P17" t="str">
        <f>assignmentSQL('Master Table'!P17,'Master Table'!P$1,'Master Table'!$A17,'Master Table'!$B17)</f>
        <v>INSERT INTO Contact_ProductLine_Map (ContactId, ProductLineId, RegionId, IsSales, IsPM, IsUserAdvocate) VALUES ((SELECT ContactId FROM Contact WHERE Name = 'Robert Wasson'), (SELECT ProductLineId FROM ProductLine WHERE Name = 'Hevacomp'), (SELECT RegionID FROM Region WHERE Name = 'UK'),1,0,0);</v>
      </c>
      <c r="Q17" t="str">
        <f>assignmentSQL('Master Table'!Q17,'Master Table'!Q$1,'Master Table'!$A17,'Master Table'!$B17)</f>
        <v>INSERT INTO Contact_ProductLine_Map (ContactId, ProductLineId, RegionId, IsSales, IsPM, IsUserAdvocate) VALUES ((SELECT ContactId FROM Contact WHERE Name = 'Rick Black'), (SELECT ProductLineId FROM ProductLine WHERE Name = 'GEOPAK'), (SELECT RegionID FROM Region WHERE Name = 'UK'),1,0,0);</v>
      </c>
      <c r="R17" t="str">
        <f>assignmentSQL('Master Table'!R17,'Master Table'!R$1,'Master Table'!$A17,'Master Table'!$B17)</f>
        <v>INSERT INTO Contact_ProductLine_Map (ContactId, ProductLineId, RegionId, IsSales, IsPM, IsUserAdvocate) VALUES ((SELECT ContactId FROM Contact WHERE Name = 'Scott Ryan'), (SELECT ProductLineId FROM ProductLine WHERE Name = 'InRoads'), (SELECT RegionID FROM Region WHERE Name = 'UK'),1,0,0);</v>
      </c>
      <c r="S17" t="str">
        <f>assignmentSQL('Master Table'!S17,'Master Table'!S$1,'Master Table'!$A17,'Master Table'!$B17)</f>
        <v>INSERT INTO Contact_ProductLine_Map (ContactId, ProductLineId, RegionId, IsSales, IsPM, IsUserAdvocate) VALUES ((SELECT ContactId FROM Contact WHERE Name = 'Scott Ryan'), (SELECT ProductLineId FROM ProductLine WHERE Name = 'MX'), (SELECT RegionID FROM Region WHERE Name = 'UK'),1,0,0);</v>
      </c>
      <c r="T17" t="str">
        <f>assignmentSQL('Master Table'!T17,'Master Table'!T$1,'Master Table'!$A17,'Master Table'!$B17)</f>
        <v>INSERT INTO Contact_ProductLine_Map (ContactId, ProductLineId, RegionId, IsSales, IsPM, IsUserAdvocate) VALUES ((SELECT ContactId FROM Contact WHERE Name = 'Scott Ryan'), (SELECT ProductLineId FROM ProductLine WHERE Name = 'OpenRail'), (SELECT RegionID FROM Region WHERE Name = 'UK'),1,0,0);</v>
      </c>
      <c r="U17" t="str">
        <f>assignmentSQL('Master Table'!U17,'Master Table'!U$1,'Master Table'!$A17,'Master Table'!$B17)</f>
        <v>INSERT INTO Contact_ProductLine_Map (ContactId, ProductLineId, RegionId, IsSales, IsPM, IsUserAdvocate) VALUES ((SELECT ContactId FROM Contact WHERE Name = 'Scott Ryan'), (SELECT ProductLineId FROM ProductLine WHERE Name = 'OpenRoads'), (SELECT RegionID FROM Region WHERE Name = 'UK'),1,0,0);</v>
      </c>
      <c r="V17" t="str">
        <f>assignmentSQL('Master Table'!V17,'Master Table'!V$1,'Master Table'!$A17,'Master Table'!$B17)</f>
        <v>INSERT INTO Contact_ProductLine_Map (ContactId, ProductLineId, RegionId, IsSales, IsPM, IsUserAdvocate) VALUES ((SELECT ContactId FROM Contact WHERE Name = 'Scott Ryan'), (SELECT ProductLineId FROM ProductLine WHERE Name = 'ConceptStation'), (SELECT RegionID FROM Region WHERE Name = 'UK'),1,0,0);</v>
      </c>
      <c r="W17" t="str">
        <f>assignmentSQL('Master Table'!W17,'Master Table'!W$1,'Master Table'!$A17,'Master Table'!$B17)</f>
        <v>INSERT INTO Contact_ProductLine_Map (ContactId, ProductLineId, RegionId, IsSales, IsPM, IsUserAdvocate) VALUES ((SELECT ContactId FROM Contact WHERE Name = 'Scott Ryan'), (SELECT ProductLineId FROM ProductLine WHERE Name = 'gINT'), (SELECT RegionID FROM Region WHERE Name = 'UK'),1,0,0);</v>
      </c>
      <c r="X17" t="str">
        <f>assignmentSQL('Master Table'!X17,'Master Table'!X$1,'Master Table'!$A17,'Master Table'!$B17)</f>
        <v>INSERT INTO Contact_ProductLine_Map (ContactId, ProductLineId, RegionId, IsSales, IsPM, IsUserAdvocate) VALUES ((SELECT ContactId FROM Contact WHERE Name = 'Michael Curran'), (SELECT ProductLineId FROM ProductLine WHERE Name = 'AutoPLANT'), (SELECT RegionID FROM Region WHERE Name = 'UK'),1,0,0);</v>
      </c>
      <c r="Y17" t="str">
        <f>assignmentSQL('Master Table'!Y17,'Master Table'!Y$1,'Master Table'!$A17,'Master Table'!$B17)</f>
        <v>INSERT INTO Contact_ProductLine_Map (ContactId, ProductLineId, RegionId, IsSales, IsPM, IsUserAdvocate) VALUES ((SELECT ContactId FROM Contact WHERE Name = 'Michael Curran'), (SELECT ProductLineId FROM ProductLine WHERE Name = 'AXSYS'), (SELECT RegionID FROM Region WHERE Name = 'UK'),1,0,0);</v>
      </c>
      <c r="Z17" t="str">
        <f>assignmentSQL('Master Table'!Z17,'Master Table'!Z$1,'Master Table'!$A17,'Master Table'!$B17)</f>
        <v>INSERT INTO Contact_ProductLine_Map (ContactId, ProductLineId, RegionId, IsSales, IsPM, IsUserAdvocate) VALUES ((SELECT ContactId FROM Contact WHERE Name = 'Michael Curran'), (SELECT ProductLineId FROM ProductLine WHERE Name = 'OpenPlant'), (SELECT RegionID FROM Region WHERE Name = 'UK'),1,0,0);</v>
      </c>
      <c r="AA17" t="str">
        <f>assignmentSQL('Master Table'!AA17,'Master Table'!AA$1,'Master Table'!$A17,'Master Table'!$B17)</f>
        <v>INSERT INTO Contact_ProductLine_Map (ContactId, ProductLineId, RegionId, IsSales, IsPM, IsUserAdvocate) VALUES ((SELECT ContactId FROM Contact WHERE Name = 'Michael Curran'), (SELECT ProductLineId FROM ProductLine WHERE Name = 'PlantSpace'), (SELECT RegionID FROM Region WHERE Name = 'UK'),1,0,0);</v>
      </c>
      <c r="AB17" t="str">
        <f>assignmentSQL('Master Table'!AB17,'Master Table'!AB$1,'Master Table'!$A17,'Master Table'!$B17)</f>
        <v>INSERT INTO Contact_ProductLine_Map (ContactId, ProductLineId, RegionId, IsSales, IsPM, IsUserAdvocate) VALUES ((SELECT ContactId FROM Contact WHERE Name = 'Craven Naidoo'), (SELECT ProductLineId FROM ProductLine WHERE Name = 'MineCycle'), (SELECT RegionID FROM Region WHERE Name = 'UK'),1,0,0);</v>
      </c>
      <c r="AC17" t="str">
        <f>assignmentSQL('Master Table'!AC17,'Master Table'!AC$1,'Master Table'!$A17,'Master Table'!$B17)</f>
        <v>INSERT INTO Contact_ProductLine_Map (ContactId, ProductLineId, RegionId, IsSales, IsPM, IsUserAdvocate) VALUES ((SELECT ContactId FROM Contact WHERE Name = 'Michael Curran'), (SELECT ProductLineId FROM ProductLine WHERE Name = 'Plantwise'), (SELECT RegionID FROM Region WHERE Name = 'UK'),1,0,0);</v>
      </c>
      <c r="AD17" t="str">
        <f>assignmentSQL('Master Table'!AD17,'Master Table'!AD$1,'Master Table'!$A17,'Master Table'!$B17)</f>
        <v>INSERT INTO Contact_ProductLine_Map (ContactId, ProductLineId, RegionId, IsSales, IsPM, IsUserAdvocate) VALUES ((SELECT ContactId FROM Contact WHERE Name = 'Mourad Labguira'), (SELECT ProductLineId FROM ProductLine WHERE Name = 'Pointools'), (SELECT RegionID FROM Region WHERE Name = 'UK'),1,0,0);</v>
      </c>
      <c r="AE17" t="str">
        <f>assignmentSQL('Master Table'!AE17,'Master Table'!AE$1,'Master Table'!$A17,'Master Table'!$B17)</f>
        <v>INSERT INTO Contact_ProductLine_Map (ContactId, ProductLineId, RegionId, IsSales, IsPM, IsUserAdvocate) VALUES ((SELECT ContactId FROM Contact WHERE Name = 'Erwin Van Meurs'), (SELECT ProductLineId FROM ProductLine WHERE Name = 'LumenRT'), (SELECT RegionID FROM Region WHERE Name = 'UK'),1,0,0);</v>
      </c>
      <c r="AF17" t="str">
        <f>assignmentSQL('Master Table'!AF17,'Master Table'!AF$1,'Master Table'!$A17,'Master Table'!$B17)</f>
        <v>INSERT INTO Contact_ProductLine_Map (ContactId, ProductLineId, RegionId, IsSales, IsPM, IsUserAdvocate) VALUES ((SELECT ContactId FROM Contact WHERE Name = 'Mourad Labguira'), (SELECT ProductLineId FROM ProductLine WHERE Name = 'ContextCapture'), (SELECT RegionID FROM Region WHERE Name = 'UK'),1,0,0);</v>
      </c>
      <c r="AG17" t="str">
        <f>assignmentSQL('Master Table'!AG17,'Master Table'!AG$1,'Master Table'!$A17,'Master Table'!$B17)</f>
        <v>INSERT INTO Contact_ProductLine_Map (ContactId, ProductLineId, RegionId, IsSales, IsPM, IsUserAdvocate) VALUES ((SELECT ContactId FROM Contact WHERE Name = 'Mourad Labguira'), (SELECT ProductLineId FROM ProductLine WHERE Name = 'Descartes'), (SELECT RegionID FROM Region WHERE Name = 'UK'),1,0,0);</v>
      </c>
      <c r="AH17" t="str">
        <f>assignmentSQL('Master Table'!AH17,'Master Table'!AH$1,'Master Table'!$A17,'Master Table'!$B17)</f>
        <v>INSERT INTO Contact_ProductLine_Map (ContactId, ProductLineId, RegionId, IsSales, IsPM, IsUserAdvocate) VALUES ((SELECT ContactId FROM Contact WHERE Name = 'Robert Wasson'), (SELECT ProductLineId FROM ProductLine WHERE Name = 'ProStructures'), (SELECT RegionID FROM Region WHERE Name = 'UK'),1,0,0);</v>
      </c>
      <c r="AI17" t="str">
        <f>assignmentSQL('Master Table'!AI17,'Master Table'!AI$1,'Master Table'!$A17,'Master Table'!$B17)</f>
        <v>INSERT INTO Contact_ProductLine_Map (ContactId, ProductLineId, RegionId, IsSales, IsPM, IsUserAdvocate) VALUES ((SELECT ContactId FROM Contact WHERE Name = 'Rick Black'), (SELECT ProductLineId FROM ProductLine WHERE Name = 'promis*e'), (SELECT RegionID FROM Region WHERE Name = 'UK'),1,0,0);</v>
      </c>
      <c r="AJ17" t="str">
        <f>assignmentSQL('Master Table'!AJ17,'Master Table'!AJ$1,'Master Table'!$A17,'Master Table'!$B17)</f>
        <v>INSERT INTO Contact_ProductLine_Map (ContactId, ProductLineId, RegionId, IsSales, IsPM, IsUserAdvocate) VALUES ((SELECT ContactId FROM Contact WHERE Name = 'Andrew Rhodes'), (SELECT ProductLineId FROM ProductLine WHERE Name = 'AssetWise'), (SELECT RegionID FROM Region WHERE Name = 'UK'),1,0,0);</v>
      </c>
      <c r="AK17" t="str">
        <f>assignmentSQL('Master Table'!AK17,'Master Table'!AK$1,'Master Table'!$A17,'Master Table'!$B17)</f>
        <v>INSERT INTO Contact_ProductLine_Map (ContactId, ProductLineId, RegionId, IsSales, IsPM, IsUserAdvocate) VALUES ((SELECT ContactId FROM Contact WHERE Name = 'David Smith'), (SELECT ProductLineId FROM ProductLine WHERE Name = 'AssetWise APM'), (SELECT RegionID FROM Region WHERE Name = 'UK'),1,0,0);</v>
      </c>
      <c r="AL17" t="str">
        <f>assignmentSQL('Master Table'!AL17,'Master Table'!AL$1,'Master Table'!$A17,'Master Table'!$B17)</f>
        <v>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'UK'),1,0,0);INSERT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'UK'),1,0,0);</v>
      </c>
      <c r="AM17" t="str">
        <f>assignmentSQL('Master Table'!AM17,'Master Table'!AM$1,'Master Table'!$A17,'Master Table'!$B17)</f>
        <v>INSERT INTO Contact_ProductLine_Map (ContactId, ProductLineId, RegionId, IsSales, IsPM, IsUserAdvocate) VALUES ((SELECT ContactId FROM Contact WHERE Name = 'Darja Kalau'), (SELECT ProductLineId FROM ProductLine WHERE Name = 'Map'), (SELECT RegionID FROM Region WHERE Name = 'UK'),1,0,0);</v>
      </c>
      <c r="AN17" t="str">
        <f>assignmentSQL('Master Table'!AN17,'Master Table'!AN$1,'Master Table'!$A17,'Master Table'!$B17)</f>
        <v>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'UK'),1,0,0);INSERT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'UK'),1,0,0);</v>
      </c>
      <c r="AO17" t="str">
        <f>assignmentSQL('Master Table'!AO17,'Master Table'!AO$1,'Master Table'!$A17,'Master Table'!$B17)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'UK'),1,0,0);INSERT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'UK'),1,0,0);</v>
      </c>
      <c r="AP17" t="str">
        <f>assignmentSQL('Master Table'!AP17,'Master Table'!AP$1,'Master Table'!$A17,'Master Table'!$B17)</f>
        <v>INSERT INTO Contact_ProductLine_Map (ContactId, ProductLineId, RegionId, IsSales, IsPM, IsUserAdvocate) VALUES ((SELECT ContactId FROM Contact WHERE Name = 'Slavco Velichkov'), (SELECT ProductLineId FROM ProductLine WHERE Name = 'Haestad'), (SELECT RegionID FROM Region WHERE Name = 'UK'),1,0,0);</v>
      </c>
      <c r="AQ17" t="str">
        <f>assignmentSQL('Master Table'!AQ17,'Master Table'!AQ$1,'Master Table'!$A17,'Master Table'!$B17)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'UK'),1,0,0);INSERT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'UK'),1,0,0);</v>
      </c>
      <c r="AR17" t="str">
        <f>assignmentSQL('Master Table'!AR17,'Master Table'!AR$1,'Master Table'!$A17,'Master Table'!$B17)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'UK'),1,0,0);</v>
      </c>
      <c r="AS17" t="str">
        <f>assignmentSQL('Master Table'!AS17,'Master Table'!AS$1,'Master Table'!$A17,'Master Table'!$B17)</f>
        <v>INSERT INTO Contact_ProductLine_Map (ContactId, ProductLineId, RegionId, IsSales, IsPM, IsUserAdvocate) VALUES ((SELECT ContactId FROM Contact WHERE Name = 'David Smith'), (SELECT ProductLineId FROM ProductLine WHERE Name = 'Amulet'), (SELECT RegionID FROM Region WHERE Name = 'UK'),1,0,0);</v>
      </c>
      <c r="AT17" t="str">
        <f>assignmentSQL('Master Table'!AT17,'Master Table'!AT$1,'Master Table'!$A17,'Master Table'!$B17)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'UK'),1,0,0);</v>
      </c>
      <c r="AU17" t="str">
        <f>assignmentSQL('Master Table'!AU17,'Master Table'!AU$1,'Master Table'!$A17,'Master Table'!$B17)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'UK'),1,0,0);</v>
      </c>
      <c r="AV17" t="str">
        <f>assignmentSQL('Master Table'!AV17,'Master Table'!AV$1,'Master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Design Integration'), (SELECT RegionID FROM Region WHERE Name = 'UK'),1,0,0);</v>
      </c>
      <c r="AW17" t="str">
        <f>assignmentSQL('Master Table'!AW17,'Master Table'!AW$1,'Master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Issues Resolution'), (SELECT RegionID FROM Region WHERE Name = 'UK'),1,0,0);</v>
      </c>
      <c r="AX17" t="str">
        <f>assignmentSQL('Master Table'!AX17,'Master Table'!AX$1,'Master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Explorer Civil 3D Integration Module'), (SELECT RegionID FROM Region WHERE Name = 'UK'),1,0,0);</v>
      </c>
      <c r="AY17" t="str">
        <f>assignmentSQL('Master Table'!AY17,'Master Table'!AY$1,'Master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Explorer Revit Integration Module'), (SELECT RegionID FROM Region WHERE Name = 'UK'),1,0,0);</v>
      </c>
      <c r="AZ17" t="str">
        <f>assignmentSQL('Master Table'!AZ17,'Master Table'!AZ$1,'Master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Explorer Office Integration Module'), (SELECT RegionID FROM Region WHERE Name = 'UK'),1,0,0);</v>
      </c>
      <c r="BA17" t="str">
        <f>assignmentSQL('Master Table'!BA17,'Master Table'!BA$1,'Master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Edge Mobile'), (SELECT RegionID FROM Region WHERE Name = 'UK'),1,0,0);</v>
      </c>
      <c r="BB17" t="str">
        <f>assignmentSQL('Master Table'!BB17,'Master Table'!BB$1,'Master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WorkSite'), (SELECT RegionID FROM Region WHERE Name = 'UK'),1,0,0);</v>
      </c>
      <c r="BC17" t="str">
        <f>assignmentSQL('Master Table'!BC17,'Master Table'!BC$1,'Master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Edge'), (SELECT RegionID FROM Region WHERE Name = 'UK'),1,0,0);</v>
      </c>
      <c r="BD17" t="str">
        <f>assignmentSQL('Master Table'!BD17,'Master Table'!BD$1,'Master Table'!$A17,'Master Table'!$B17)</f>
        <v>INSERT INTO Contact_ProductLine_Map (ContactId, ProductLineId, RegionId, IsSales, IsPM, IsUserAdvocate) VALUES ((SELECT ContactId FROM Contact WHERE Name = 'Rocco Masiello'), (SELECT ProductLineId FROM ProductLine WHERE Name = 'Navigator CE'), (SELECT RegionID FROM Region WHERE Name = 'UK'),1,0,0);</v>
      </c>
      <c r="BE17" t="str">
        <f>assignmentSQL('Master Table'!BE17,'Master Table'!BE$1,'Master Table'!$A17,'Master Table'!$B17)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'UK'),1,0,0);</v>
      </c>
      <c r="BF17" t="str">
        <f>assignmentSQL('Master Table'!BF17,'Master Table'!BF$1,'Master Table'!$A17,'Master Table'!$B17)</f>
        <v/>
      </c>
      <c r="BG17" t="str">
        <f>assignmentSQL('Master Table'!BG17,'Master Table'!BG$1,'Master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'Deliverables Management'), (SELECT RegionID FROM Region WHERE Name = 'UK'),1,0,0);</v>
      </c>
      <c r="BH17" t="str">
        <f>assignmentSQL('Master Table'!BH17,'Master Table'!BH$1,'Master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'Bentley Automation Service CONNECT Edition'), (SELECT RegionID FROM Region WHERE Name = 'UK'),1,0,0);</v>
      </c>
      <c r="BI17" t="str">
        <f>assignmentSQL('Master Table'!BI17,'Master Table'!BI$1,'Master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"Field Data Management'), (SELECT RegionID FROM Region WHERE Name = 'UK'),1,0,0);</v>
      </c>
      <c r="BJ17" t="str">
        <f>assignmentSQL('Master Table'!BJ17,'Master Table'!BJ$1,'Master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i-model Composition Server for PDF'), (SELECT RegionID FROM Region WHERE Name = 'UK'),1,0,0);</v>
      </c>
      <c r="BK17" t="str">
        <f>assignmentSQL('Master Table'!BK17,'Master Table'!BK$1,'Master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InterPlot Server and Interplot Organizer'), (SELECT RegionID FROM Region WHERE Name = 'UK'),1,0,0);</v>
      </c>
      <c r="BL17" t="str">
        <f>assignmentSQL('Master Table'!BL17,'Master Table'!BL$1,'Master Table'!$A17,'Master Table'!$B17)</f>
        <v>INSERT INTO Contact_ProductLine_Map (ContactId, ProductLineId, RegionId, IsSales, IsPM, IsUserAdvocate) VALUES ((SELECT ContactId FROM Contact WHERE Name = 'Stefan Sigvardsson'), (SELECT ProductLineId FROM ProductLine WHERE Name = 'ProjectWise i-model Composition Server for i-models'), (SELECT RegionID FROM Region WHERE Name = 'UK'),1,0,0);</v>
      </c>
    </row>
    <row r="18" spans="3:64" x14ac:dyDescent="0.25">
      <c r="C18" t="str">
        <f>assignmentSQL('Master Table'!C18,'Master Table'!C$1,'Master Table'!$A18,'Master Table'!$B18)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'UK'),0,1,0);</v>
      </c>
      <c r="D18" t="str">
        <f>assignmentSQL('Master Table'!D18,'Master Table'!D$1,'Master Table'!$A18,'Master Table'!$B18)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'UK'),0,1,0);</v>
      </c>
      <c r="E18" t="str">
        <f>assignmentSQL('Master Table'!E18,'Master Table'!E$1,'Master Table'!$A18,'Master Table'!$B18)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'UK'),0,1,0);INSERT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'UK'),0,1,0);</v>
      </c>
      <c r="F18" t="str">
        <f>assignmentSQL('Master Table'!F18,'Master Table'!F$1,'Master Table'!$A18,'Master Table'!$B18)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'UK'),0,1,0);</v>
      </c>
      <c r="G18" t="str">
        <f>assignmentSQL('Master Table'!G18,'Master Table'!G$1,'Master Table'!$A18,'Master Table'!$B18)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'UK'),0,1,0);</v>
      </c>
      <c r="H18" t="str">
        <f>assignmentSQL('Master Table'!H18,'Master Table'!H$1,'Master Table'!$A18,'Master Table'!$B18)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'UK'),0,1,0);</v>
      </c>
      <c r="I18" t="str">
        <f>assignmentSQL('Master Table'!I18,'Master Table'!I$1,'Master Table'!$A18,'Master Table'!$B18)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'UK'),0,1,0);</v>
      </c>
      <c r="J18" t="str">
        <f>assignmentSQL('Master Table'!J18,'Master Table'!J$1,'Master Table'!$A18,'Master Table'!$B18)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'UK'),0,1,0);</v>
      </c>
      <c r="K18" t="str">
        <f>assignmentSQL('Master Table'!K18,'Master Table'!K$1,'Master Table'!$A18,'Master Table'!$B18)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'UK'),0,1,0);</v>
      </c>
      <c r="L18" t="str">
        <f>assignmentSQL('Master Table'!L18,'Master Table'!L$1,'Master Table'!$A18,'Master Table'!$B18)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'UK'),0,1,0);</v>
      </c>
      <c r="M18" t="str">
        <f>assignmentSQL('Master Table'!M18,'Master Table'!M$1,'Master Table'!$A18,'Master Table'!$B18)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'UK'),0,1,0);</v>
      </c>
      <c r="N18" t="str">
        <f>assignmentSQL('Master Table'!N18,'Master Table'!N$1,'Master Table'!$A18,'Master Table'!$B18)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'UK'),0,1,0);</v>
      </c>
      <c r="O18" t="str">
        <f>assignmentSQL('Master Table'!O18,'Master Table'!O$1,'Master Table'!$A18,'Master Table'!$B18)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'UK'),0,1,0);</v>
      </c>
      <c r="P18" t="str">
        <f>assignmentSQL('Master Table'!P18,'Master Table'!P$1,'Master Table'!$A18,'Master Table'!$B18)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'UK'),0,1,0);</v>
      </c>
      <c r="Q18" t="str">
        <f>assignmentSQL('Master Table'!Q18,'Master Table'!Q$1,'Master Table'!$A18,'Master Table'!$B18)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'UK'),0,1,0);</v>
      </c>
      <c r="R18" t="str">
        <f>assignmentSQL('Master Table'!R18,'Master Table'!R$1,'Master Table'!$A18,'Master Table'!$B18)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'UK'),0,1,0);</v>
      </c>
      <c r="S18" t="str">
        <f>assignmentSQL('Master Table'!S18,'Master Table'!S$1,'Master Table'!$A18,'Master Table'!$B18)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'UK'),0,1,0);</v>
      </c>
      <c r="T18" t="str">
        <f>assignmentSQL('Master Table'!T18,'Master Table'!T$1,'Master Table'!$A18,'Master Table'!$B18)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'UK'),0,1,0);</v>
      </c>
      <c r="U18" t="str">
        <f>assignmentSQL('Master Table'!U18,'Master Table'!U$1,'Master Table'!$A18,'Master Table'!$B18)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'UK'),0,1,0);</v>
      </c>
      <c r="V18" t="str">
        <f>assignmentSQL('Master Table'!V18,'Master Table'!V$1,'Master Table'!$A18,'Master Table'!$B18)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'UK'),0,1,0);</v>
      </c>
      <c r="W18" t="str">
        <f>assignmentSQL('Master Table'!W18,'Master Table'!W$1,'Master Table'!$A18,'Master Table'!$B18)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'UK'),0,1,0);</v>
      </c>
      <c r="X18" t="str">
        <f>assignmentSQL('Master Table'!X18,'Master Table'!X$1,'Master Table'!$A18,'Master Table'!$B18)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'UK'),0,1,0);</v>
      </c>
      <c r="Y18" t="str">
        <f>assignmentSQL('Master Table'!Y18,'Master Table'!Y$1,'Master Table'!$A18,'Master Table'!$B18)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'UK'),0,1,0);</v>
      </c>
      <c r="Z18" t="str">
        <f>assignmentSQL('Master Table'!Z18,'Master Table'!Z$1,'Master Table'!$A18,'Master Table'!$B18)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'UK'),0,1,0);</v>
      </c>
      <c r="AA18" t="str">
        <f>assignmentSQL('Master Table'!AA18,'Master Table'!AA$1,'Master Table'!$A18,'Master Table'!$B18)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'UK'),0,1,0);</v>
      </c>
      <c r="AB18" t="str">
        <f>assignmentSQL('Master Table'!AB18,'Master Table'!AB$1,'Master Table'!$A18,'Master Table'!$B18)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'UK'),0,1,0);</v>
      </c>
      <c r="AC18" t="str">
        <f>assignmentSQL('Master Table'!AC18,'Master Table'!AC$1,'Master Table'!$A18,'Master Table'!$B18)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'UK'),0,1,0);</v>
      </c>
      <c r="AD18" t="str">
        <f>assignmentSQL('Master Table'!AD18,'Master Table'!AD$1,'Master Table'!$A18,'Master Table'!$B18)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'UK'),0,1,0);</v>
      </c>
      <c r="AE18" t="str">
        <f>assignmentSQL('Master Table'!AE18,'Master Table'!AE$1,'Master Table'!$A18,'Master Table'!$B18)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'UK'),0,1,0);</v>
      </c>
      <c r="AF18" t="str">
        <f>assignmentSQL('Master Table'!AF18,'Master Table'!AF$1,'Master Table'!$A18,'Master Table'!$B18)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'UK'),0,1,0);</v>
      </c>
      <c r="AG18" t="str">
        <f>assignmentSQL('Master Table'!AG18,'Master Table'!AG$1,'Master Table'!$A18,'Master Table'!$B18)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'UK'),0,1,0);</v>
      </c>
      <c r="AH18" t="str">
        <f>assignmentSQL('Master Table'!AH18,'Master Table'!AH$1,'Master Table'!$A18,'Master Table'!$B18)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'UK'),0,1,0);</v>
      </c>
      <c r="AI18" t="str">
        <f>assignmentSQL('Master Table'!AI18,'Master Table'!AI$1,'Master Table'!$A18,'Master Table'!$B18)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'UK'),0,1,0);</v>
      </c>
      <c r="AJ18" t="str">
        <f>assignmentSQL('Master Table'!AJ18,'Master Table'!AJ$1,'Master Table'!$A18,'Master Table'!$B18)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'UK'),0,1,0);</v>
      </c>
      <c r="AK18" t="str">
        <f>assignmentSQL('Master Table'!AK18,'Master Table'!AK$1,'Master Table'!$A18,'Master Table'!$B18)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'UK'),0,1,0);</v>
      </c>
      <c r="AL18" t="str">
        <f>assignmentSQL('Master Table'!AL18,'Master Table'!AL$1,'Master Table'!$A18,'Master Table'!$B18)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'UK'),0,1,0);</v>
      </c>
      <c r="AM18" t="str">
        <f>assignmentSQL('Master Table'!AM18,'Master Table'!AM$1,'Master Table'!$A18,'Master Table'!$B18)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'UK'),0,1,0);</v>
      </c>
      <c r="AN18" t="str">
        <f>assignmentSQL('Master Table'!AN18,'Master Table'!AN$1,'Master Table'!$A18,'Master Table'!$B18)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'UK'),0,1,0);</v>
      </c>
      <c r="AO18" t="str">
        <f>assignmentSQL('Master Table'!AO18,'Master Table'!AO$1,'Master Table'!$A18,'Master Table'!$B18)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'UK'),0,1,0);</v>
      </c>
      <c r="AP18" t="str">
        <f>assignmentSQL('Master Table'!AP18,'Master Table'!AP$1,'Master Table'!$A18,'Master Table'!$B18)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'UK'),0,1,0);</v>
      </c>
      <c r="AQ18" t="str">
        <f>assignmentSQL('Master Table'!AQ18,'Master Table'!AQ$1,'Master Table'!$A18,'Master Table'!$B18)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'UK'),0,1,0);</v>
      </c>
      <c r="AR18" t="str">
        <f>assignmentSQL('Master Table'!AR18,'Master Table'!AR$1,'Master Table'!$A18,'Master Table'!$B18)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'UK'),0,1,0);</v>
      </c>
      <c r="AS18" t="str">
        <f>assignmentSQL('Master Table'!AS18,'Master Table'!AS$1,'Master Table'!$A18,'Master Table'!$B18)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'UK'),0,1,0);</v>
      </c>
      <c r="AT18" t="str">
        <f>assignmentSQL('Master Table'!AT18,'Master Table'!AT$1,'Master Table'!$A18,'Master Table'!$B18)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'UK'),0,1,0);</v>
      </c>
      <c r="AU18" t="str">
        <f>assignmentSQL('Master Table'!AU18,'Master Table'!AU$1,'Master Table'!$A18,'Master Table'!$B18)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'UK'),0,1,0);</v>
      </c>
      <c r="AV18" t="str">
        <f>assignmentSQL('Master Table'!AV18,'Master Table'!AV$1,'Master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'UK'),0,1,0);</v>
      </c>
      <c r="AW18" t="str">
        <f>assignmentSQL('Master Table'!AW18,'Master Table'!AW$1,'Master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'UK'),0,1,0);</v>
      </c>
      <c r="AX18" t="str">
        <f>assignmentSQL('Master Table'!AX18,'Master Table'!AX$1,'Master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'UK'),0,1,0);</v>
      </c>
      <c r="AY18" t="str">
        <f>assignmentSQL('Master Table'!AY18,'Master Table'!AY$1,'Master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'UK'),0,1,0);</v>
      </c>
      <c r="AZ18" t="str">
        <f>assignmentSQL('Master Table'!AZ18,'Master Table'!AZ$1,'Master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'UK'),0,1,0);</v>
      </c>
      <c r="BA18" t="str">
        <f>assignmentSQL('Master Table'!BA18,'Master Table'!BA$1,'Master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'UK'),0,1,0);INSERT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'UK'),0,1,0);</v>
      </c>
      <c r="BB18" t="str">
        <f>assignmentSQL('Master Table'!BB18,'Master Table'!BB$1,'Master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'UK'),0,1,0);INSERT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'UK'),0,1,0);</v>
      </c>
      <c r="BC18" t="str">
        <f>assignmentSQL('Master Table'!BC18,'Master Table'!BC$1,'Master Table'!$A18,'Master Table'!$B18)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'UK'),0,1,0);INSERT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'UK'),0,1,0);</v>
      </c>
      <c r="BD18" t="str">
        <f>assignmentSQL('Master Table'!BD18,'Master Table'!BD$1,'Master Table'!$A18,'Master Table'!$B18)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'UK'),0,1,0);</v>
      </c>
      <c r="BE18" t="str">
        <f>assignmentSQL('Master Table'!BE18,'Master Table'!BE$1,'Master Table'!$A18,'Master Table'!$B18)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'UK'),0,1,0);</v>
      </c>
      <c r="BF18" t="str">
        <f>assignmentSQL('Master Table'!BF18,'Master Table'!BF$1,'Master Table'!$A18,'Master Table'!$B18)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'UK'),0,1,0);</v>
      </c>
      <c r="BG18" t="str">
        <f>assignmentSQL('Master Table'!BG18,'Master Table'!BG$1,'Master Table'!$A18,'Master Table'!$B18)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'UK'),0,1,0);</v>
      </c>
      <c r="BH18" t="str">
        <f>assignmentSQL('Master Table'!BH18,'Master Table'!BH$1,'Master Table'!$A18,'Master Table'!$B18)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'UK'),0,1,0);</v>
      </c>
      <c r="BI18" t="str">
        <f>assignmentSQL('Master Table'!BI18,'Master Table'!BI$1,'Master Table'!$A18,'Master Table'!$B18)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'UK'),0,1,0);</v>
      </c>
      <c r="BJ18" t="str">
        <f>assignmentSQL('Master Table'!BJ18,'Master Table'!BJ$1,'Master Table'!$A18,'Master Table'!$B18)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'UK'),0,1,0);</v>
      </c>
      <c r="BK18" t="str">
        <f>assignmentSQL('Master Table'!BK18,'Master Table'!BK$1,'Master Table'!$A18,'Master Table'!$B18)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'UK'),0,1,0);</v>
      </c>
      <c r="BL18" t="str">
        <f>assignmentSQL('Master Table'!BL18,'Master Table'!BL$1,'Master Table'!$A18,'Master Table'!$B18)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'UK'),0,1,0);</v>
      </c>
    </row>
    <row r="19" spans="3:64" x14ac:dyDescent="0.25">
      <c r="C19" t="str">
        <f>assignmentSQL('Master Table'!C19,'Master Table'!C$1,'Master Table'!$A19,'Master Table'!$B19)</f>
        <v>INSERT INTO Contact_ProductLine_Map (ContactId, ProductLineId, RegionId, IsSales, IsPM, IsUserAdvocate) VALUES ((SELECT ContactId FROM Contact WHERE Name = 'Richard Tully'), (SELECT ProductLineId FROM ProductLine WHERE Name = 'STAAD'), (SELECT RegionID FROM Region WHERE Name = 'UK'),0,0,1);</v>
      </c>
      <c r="D19" t="str">
        <f>assignmentSQL('Master Table'!D19,'Master Table'!D$1,'Master Table'!$A19,'Master Table'!$B19)</f>
        <v>INSERT INTO Contact_ProductLine_Map (ContactId, ProductLineId, RegionId, IsSales, IsPM, IsUserAdvocate) VALUES ((SELECT ContactId FROM Contact WHERE Name = 'Richard Tully'), (SELECT ProductLineId FROM ProductLine WHERE Name = 'RAM'), (SELECT RegionID FROM Region WHERE Name = 'UK'),0,0,1);</v>
      </c>
      <c r="E19" t="str">
        <f>assignmentSQL('Master Table'!E19,'Master Table'!E$1,'Master Table'!$A19,'Master Table'!$B19)</f>
        <v/>
      </c>
      <c r="F19" t="str">
        <f>assignmentSQL('Master Table'!F19,'Master Table'!F$1,'Master Table'!$A19,'Master Table'!$B19)</f>
        <v>INSERT INTO Contact_ProductLine_Map (ContactId, ProductLineId, RegionId, IsSales, IsPM, IsUserAdvocate) VALUES ((SELECT ContactId FROM Contact WHERE Name = 'Jerard Marsh'), (SELECT ProductLineId FROM ProductLine WHERE Name = 'SACS'), (SELECT RegionID FROM Region WHERE Name = 'UK'),0,0,1);</v>
      </c>
      <c r="G19" t="str">
        <f>assignmentSQL('Master Table'!G19,'Master Table'!G$1,'Master Table'!$A19,'Master Table'!$B19)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'UK'),0,0,1);</v>
      </c>
      <c r="H19" t="str">
        <f>assignmentSQL('Master Table'!H19,'Master Table'!H$1,'Master Table'!$A19,'Master Table'!$B19)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'UK'),0,0,1);</v>
      </c>
      <c r="I19" t="str">
        <f>assignmentSQL('Master Table'!I19,'Master Table'!I$1,'Master Table'!$A19,'Master Table'!$B19)</f>
        <v>INSERT INTO Contact_ProductLine_Map (ContactId, ProductLineId, RegionId, IsSales, IsPM, IsUserAdvocate) VALUES ((SELECT ContactId FROM Contact WHERE Name = 'JP Chanard'), (SELECT ProductLineId FROM ProductLine WHERE Name = 'RM'), (SELECT RegionID FROM Region WHERE Name = 'UK'),0,0,1);</v>
      </c>
      <c r="J19" t="str">
        <f>assignmentSQL('Master Table'!J19,'Master Table'!J$1,'Master Table'!$A19,'Master Table'!$B19)</f>
        <v>INSERT INTO Contact_ProductLine_Map (ContactId, ProductLineId, RegionId, IsSales, IsPM, IsUserAdvocate) VALUES ((SELECT ContactId FROM Contact WHERE Name = 'JP Chanard'), (SELECT ProductLineId FROM ProductLine WHERE Name = 'LEAP'), (SELECT RegionID FROM Region WHERE Name = 'UK'),0,0,1);</v>
      </c>
      <c r="K19" t="str">
        <f>assignmentSQL('Master Table'!K19,'Master Table'!K$1,'Master Table'!$A19,'Master Table'!$B19)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'UK'),0,0,1);</v>
      </c>
      <c r="L19" t="str">
        <f>assignmentSQL('Master Table'!L19,'Master Table'!L$1,'Master Table'!$A19,'Master Table'!$B19)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'UK'),0,0,1);</v>
      </c>
      <c r="M19" t="str">
        <f>assignmentSQL('Master Table'!M19,'Master Table'!M$1,'Master Table'!$A19,'Master Table'!$B19)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'UK'),0,0,1);</v>
      </c>
      <c r="N19" t="str">
        <f>assignmentSQL('Master Table'!N19,'Master Table'!N$1,'Master Table'!$A19,'Master Table'!$B19)</f>
        <v>INSERT INTO Contact_ProductLine_Map (ContactId, ProductLineId, RegionId, IsSales, IsPM, IsUserAdvocate) VALUES ((SELECT ContactId FROM Contact WHERE Name = 'Mark Lill'), (SELECT ProductLineId FROM ProductLine WHERE Name = 'AECOsim Building Designer'), (SELECT RegionID FROM Region WHERE Name = 'UK'),0,0,1);</v>
      </c>
      <c r="O19" t="str">
        <f>assignmentSQL('Master Table'!O19,'Master Table'!O$1,'Master Table'!$A19,'Master Table'!$B19)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'UK'),0,0,1);</v>
      </c>
      <c r="P19" t="str">
        <f>assignmentSQL('Master Table'!P19,'Master Table'!P$1,'Master Table'!$A19,'Master Table'!$B19)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'UK'),0,0,1);</v>
      </c>
      <c r="Q19" t="str">
        <f>assignmentSQL('Master Table'!Q19,'Master Table'!Q$1,'Master Table'!$A19,'Master Table'!$B19)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'UK'),0,0,1);</v>
      </c>
      <c r="R19" t="str">
        <f>assignmentSQL('Master Table'!R19,'Master Table'!R$1,'Master Table'!$A19,'Master Table'!$B19)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'UK'),0,0,1);</v>
      </c>
      <c r="S19" t="str">
        <f>assignmentSQL('Master Table'!S19,'Master Table'!S$1,'Master Table'!$A19,'Master Table'!$B19)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'UK'),0,0,1);</v>
      </c>
      <c r="T19" t="str">
        <f>assignmentSQL('Master Table'!T19,'Master Table'!T$1,'Master Table'!$A19,'Master Table'!$B19)</f>
        <v>INSERT INTO Contact_ProductLine_Map (ContactId, ProductLineId, RegionId, IsSales, IsPM, IsUserAdvocate) VALUES ((SELECT ContactId FROM Contact WHERE Name = 'Mark Marnell'), (SELECT ProductLineId FROM ProductLine WHERE Name = 'OpenRail'), (SELECT RegionID FROM Region WHERE Name = 'UK'),0,0,1);</v>
      </c>
      <c r="U19" t="str">
        <f>assignmentSQL('Master Table'!U19,'Master Table'!U$1,'Master Table'!$A19,'Master Table'!$B19)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'UK'),0,0,1);</v>
      </c>
      <c r="V19" t="str">
        <f>assignmentSQL('Master Table'!V19,'Master Table'!V$1,'Master Table'!$A19,'Master Table'!$B19)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'UK'),0,0,1);</v>
      </c>
      <c r="W19" t="str">
        <f>assignmentSQL('Master Table'!W19,'Master Table'!W$1,'Master Table'!$A19,'Master Table'!$B19)</f>
        <v>INSERT INTO Contact_ProductLine_Map (ContactId, ProductLineId, RegionId, IsSales, IsPM, IsUserAdvocate) VALUES ((SELECT ContactId FROM Contact WHERE Name = 'Ian Joyce'), (SELECT ProductLineId FROM ProductLine WHERE Name = 'gINT'), (SELECT RegionID FROM Region WHERE Name = 'UK'),0,0,1);</v>
      </c>
      <c r="X19" t="str">
        <f>assignmentSQL('Master Table'!X19,'Master Table'!X$1,'Master Table'!$A19,'Master Table'!$B19)</f>
        <v>INSERT INTO Contact_ProductLine_Map (ContactId, ProductLineId, RegionId, IsSales, IsPM, IsUserAdvocate) VALUES ((SELECT ContactId FROM Contact WHERE Name = 'Darren Guy'), (SELECT ProductLineId FROM ProductLine WHERE Name = 'AutoPLANT'), (SELECT RegionID FROM Region WHERE Name = 'UK'),0,0,1);</v>
      </c>
      <c r="Y19" t="str">
        <f>assignmentSQL('Master Table'!Y19,'Master Table'!Y$1,'Master Table'!$A19,'Master Table'!$B19)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'UK'),0,0,1);</v>
      </c>
      <c r="Z19" t="str">
        <f>assignmentSQL('Master Table'!Z19,'Master Table'!Z$1,'Master Table'!$A19,'Master Table'!$B19)</f>
        <v>INSERT INTO Contact_ProductLine_Map (ContactId, ProductLineId, RegionId, IsSales, IsPM, IsUserAdvocate) VALUES ((SELECT ContactId FROM Contact WHERE Name = 'Darren Guy'), (SELECT ProductLineId FROM ProductLine WHERE Name = 'OpenPlant'), (SELECT RegionID FROM Region WHERE Name = 'UK'),0,0,1);</v>
      </c>
      <c r="AA19" t="str">
        <f>assignmentSQL('Master Table'!AA19,'Master Table'!AA$1,'Master Table'!$A19,'Master Table'!$B19)</f>
        <v>INSERT INTO Contact_ProductLine_Map (ContactId, ProductLineId, RegionId, IsSales, IsPM, IsUserAdvocate) VALUES ((SELECT ContactId FROM Contact WHERE Name = 'Klaus Hatle'), (SELECT ProductLineId FROM ProductLine WHERE Name = 'PlantSpace'), (SELECT RegionID FROM Region WHERE Name = 'UK'),0,0,1);</v>
      </c>
      <c r="AB19" t="str">
        <f>assignmentSQL('Master Table'!AB19,'Master Table'!AB$1,'Master Table'!$A19,'Master Table'!$B19)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'UK'),0,0,1);</v>
      </c>
      <c r="AC19" t="str">
        <f>assignmentSQL('Master Table'!AC19,'Master Table'!AC$1,'Master Table'!$A19,'Master Table'!$B19)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'UK'),0,0,1);</v>
      </c>
      <c r="AD19" t="str">
        <f>assignmentSQL('Master Table'!AD19,'Master Table'!AD$1,'Master Table'!$A19,'Master Table'!$B19)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'UK'),0,0,1);</v>
      </c>
      <c r="AE19" t="str">
        <f>assignmentSQL('Master Table'!AE19,'Master Table'!AE$1,'Master Table'!$A19,'Master Table'!$B19)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'UK'),0,0,1);</v>
      </c>
      <c r="AF19" t="str">
        <f>assignmentSQL('Master Table'!AF19,'Master Table'!AF$1,'Master Table'!$A19,'Master Table'!$B19)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'UK'),0,0,1);</v>
      </c>
      <c r="AG19" t="str">
        <f>assignmentSQL('Master Table'!AG19,'Master Table'!AG$1,'Master Table'!$A19,'Master Table'!$B19)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'UK'),0,0,1);</v>
      </c>
      <c r="AH19" t="str">
        <f>assignmentSQL('Master Table'!AH19,'Master Table'!AH$1,'Master Table'!$A19,'Master Table'!$B19)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'UK'),0,0,1);</v>
      </c>
      <c r="AI19" t="str">
        <f>assignmentSQL('Master Table'!AI19,'Master Table'!AI$1,'Master Table'!$A19,'Master Table'!$B19)</f>
        <v>INSERT INTO Contact_ProductLine_Map (ContactId, ProductLineId, RegionId, IsSales, IsPM, IsUserAdvocate) VALUES ((SELECT ContactId FROM Contact WHERE Name = 'Richard Whysall'), (SELECT ProductLineId FROM ProductLine WHERE Name = 'promis*e'), (SELECT RegionID FROM Region WHERE Name = 'UK'),0,0,1);</v>
      </c>
      <c r="AJ19" t="str">
        <f>assignmentSQL('Master Table'!AJ19,'Master Table'!AJ$1,'Master Table'!$A19,'Master Table'!$B19)</f>
        <v>INSERT INTO Contact_ProductLine_Map (ContactId, ProductLineId, RegionId, IsSales, IsPM, IsUserAdvocate) VALUES ((SELECT ContactId FROM Contact WHERE Name = 'Harrie van Mullekom'), (SELECT ProductLineId FROM ProductLine WHERE Name = 'AssetWise'), (SELECT RegionID FROM Region WHERE Name = 'UK'),0,0,1);</v>
      </c>
      <c r="AK19" t="str">
        <f>assignmentSQL('Master Table'!AK19,'Master Table'!AK$1,'Master Table'!$A19,'Master Table'!$B19)</f>
        <v>INSERT INTO Contact_ProductLine_Map (ContactId, ProductLineId, RegionId, IsSales, IsPM, IsUserAdvocate) VALUES ((SELECT ContactId FROM Contact WHERE Name = 'Harrie van Mullekom'), (SELECT ProductLineId FROM ProductLine WHERE Name = 'AssetWise APM'), (SELECT RegionID FROM Region WHERE Name = 'UK'),0,0,1);</v>
      </c>
      <c r="AL19" t="str">
        <f>assignmentSQL('Master Table'!AL19,'Master Table'!AL$1,'Master Table'!$A19,'Master Table'!$B19)</f>
        <v>INSERT INTO Contact_ProductLine_Map (ContactId, ProductLineId, RegionId, IsSales, IsPM, IsUserAdvocate) VALUES ((SELECT ContactId FROM Contact WHERE Name = 'Jukka Kivela'), (SELECT ProductLineId FROM ProductLine WHERE Name = 'OpenUtilities'), (SELECT RegionID FROM Region WHERE Name = 'UK'),0,0,1);</v>
      </c>
      <c r="AM19" t="str">
        <f>assignmentSQL('Master Table'!AM19,'Master Table'!AM$1,'Master Table'!$A19,'Master Table'!$B19)</f>
        <v>INSERT INTO Contact_ProductLine_Map (ContactId, ProductLineId, RegionId, IsSales, IsPM, IsUserAdvocate) VALUES ((SELECT ContactId FROM Contact WHERE Name = 'Jukka Kivela'), (SELECT ProductLineId FROM ProductLine WHERE Name = 'Map'), (SELECT RegionID FROM Region WHERE Name = 'UK'),0,0,1);</v>
      </c>
      <c r="AN19" t="str">
        <f>assignmentSQL('Master Table'!AN19,'Master Table'!AN$1,'Master Table'!$A19,'Master Table'!$B19)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'UK'),0,0,1);</v>
      </c>
      <c r="AO19" t="str">
        <f>assignmentSQL('Master Table'!AO19,'Master Table'!AO$1,'Master Table'!$A19,'Master Table'!$B19)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'UK'),0,0,1);</v>
      </c>
      <c r="AP19" t="str">
        <f>assignmentSQL('Master Table'!AP19,'Master Table'!AP$1,'Master Table'!$A19,'Master Table'!$B19)</f>
        <v>INSERT INTO Contact_ProductLine_Map (ContactId, ProductLineId, RegionId, IsSales, IsPM, IsUserAdvocate) VALUES ((SELECT ContactId FROM Contact WHERE Name = 'MSV Rao'), (SELECT ProductLineId FROM ProductLine WHERE Name = 'Haestad'), (SELECT RegionID FROM Region WHERE Name = 'UK'),0,0,1);</v>
      </c>
      <c r="AQ19" t="str">
        <f>assignmentSQL('Master Table'!AQ19,'Master Table'!AQ$1,'Master Table'!$A19,'Master Table'!$B19)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'UK'),0,0,1);</v>
      </c>
      <c r="AR19" t="str">
        <f>assignmentSQL('Master Table'!AR19,'Master Table'!AR$1,'Master Table'!$A19,'Master Table'!$B19)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'UK'),0,0,1);</v>
      </c>
      <c r="AS19" t="str">
        <f>assignmentSQL('Master Table'!AS19,'Master Table'!AS$1,'Master Table'!$A19,'Master Table'!$B19)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'UK'),0,0,1);</v>
      </c>
      <c r="AT19" t="str">
        <f>assignmentSQL('Master Table'!AT19,'Master Table'!AT$1,'Master Table'!$A19,'Master Table'!$B19)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'UK'),0,0,1);</v>
      </c>
      <c r="AU19" t="str">
        <f>assignmentSQL('Master Table'!AU19,'Master Table'!AU$1,'Master Table'!$A19,'Master Table'!$B19)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'UK'),0,0,1);</v>
      </c>
      <c r="AV19" t="str">
        <f>assignmentSQL('Master Table'!AV19,'Master Table'!AV$1,'Master Table'!$A19,'Master Table'!$B19)</f>
        <v>INSERT INTO Contact_ProductLine_Map (ContactId, ProductLineId, RegionId, IsSales, IsPM, IsUserAdvocate) VALUES ((SELECT ContactId FROM Contact WHERE Name = 'Arturas Zidonis'), (SELECT ProductLineId FROM ProductLine WHERE Name = 'ProjectWise Design Integration'), (SELECT RegionID FROM Region WHERE Name = 'UK'),0,0,1);</v>
      </c>
      <c r="AW19" t="str">
        <f>assignmentSQL('Master Table'!AW19,'Master Table'!AW$1,'Master Table'!$A19,'Master Table'!$B19)</f>
        <v>INSERT INTO Contact_ProductLine_Map (ContactId, ProductLineId, RegionId, IsSales, IsPM, IsUserAdvocate) VALUES ((SELECT ContactId FROM Contact WHERE Name = 'Justinas Verbickas'), (SELECT ProductLineId FROM ProductLine WHERE Name = 'ProjectWise Issues Resolution'), (SELECT RegionID FROM Region WHERE Name = 'UK'),0,0,1);</v>
      </c>
      <c r="AX19" t="str">
        <f>assignmentSQL('Master Table'!AX19,'Master Table'!AX$1,'Master Table'!$A19,'Master Table'!$B19)</f>
        <v>INSERT INTO Contact_ProductLine_Map (ContactId, ProductLineId, RegionId, IsSales, IsPM, IsUserAdvocate) VALUES ((SELECT ContactId FROM Contact WHERE Name = 'Arturas Zidonis'), (SELECT ProductLineId FROM ProductLine WHERE Name = 'ProjectWise Explorer Civil 3D Integration Module'), (SELECT RegionID FROM Region WHERE Name = 'UK'),0,0,1);</v>
      </c>
      <c r="AY19" t="str">
        <f>assignmentSQL('Master Table'!AY19,'Master Table'!AY$1,'Master Table'!$A19,'Master Table'!$B19)</f>
        <v>INSERT INTO Contact_ProductLine_Map (ContactId, ProductLineId, RegionId, IsSales, IsPM, IsUserAdvocate) VALUES ((SELECT ContactId FROM Contact WHERE Name = 'Arturas Zidonis'), (SELECT ProductLineId FROM ProductLine WHERE Name = 'ProjectWise Explorer Revit Integration Module'), (SELECT RegionID FROM Region WHERE Name = 'UK'),0,0,1);</v>
      </c>
      <c r="AZ19" t="str">
        <f>assignmentSQL('Master Table'!AZ19,'Master Table'!AZ$1,'Master Table'!$A19,'Master Table'!$B19)</f>
        <v>INSERT INTO Contact_ProductLine_Map (ContactId, ProductLineId, RegionId, IsSales, IsPM, IsUserAdvocate) VALUES ((SELECT ContactId FROM Contact WHERE Name = 'Arturas Zidonis'), (SELECT ProductLineId FROM ProductLine WHERE Name = 'ProjectWise Explorer Office Integration Module'), (SELECT RegionID FROM Region WHERE Name = 'UK'),0,0,1);</v>
      </c>
      <c r="BA19" t="str">
        <f>assignmentSQL('Master Table'!BA19,'Master Table'!BA$1,'Master Table'!$A19,'Master Table'!$B19)</f>
        <v>INSERT INTO Contact_ProductLine_Map (ContactId, ProductLineId, RegionId, IsSales, IsPM, IsUserAdvocate) VALUES ((SELECT ContactId FROM Contact WHERE Name = 'Justinas Verbickas'), (SELECT ProductLineId FROM ProductLine WHERE Name = 'ProjectWise Edge Mobile'), (SELECT RegionID FROM Region WHERE Name = 'UK'),0,0,1);</v>
      </c>
      <c r="BB19" t="str">
        <f>assignmentSQL('Master Table'!BB19,'Master Table'!BB$1,'Master Table'!$A19,'Master Table'!$B19)</f>
        <v>INSERT INTO Contact_ProductLine_Map (ContactId, ProductLineId, RegionId, IsSales, IsPM, IsUserAdvocate) VALUES ((SELECT ContactId FROM Contact WHERE Name = 'Justinas Verbickas'), (SELECT ProductLineId FROM ProductLine WHERE Name = 'ProjectWise WorkSite'), (SELECT RegionID FROM Region WHERE Name = 'UK'),0,0,1);</v>
      </c>
      <c r="BC19" t="str">
        <f>assignmentSQL('Master Table'!BC19,'Master Table'!BC$1,'Master Table'!$A19,'Master Table'!$B19)</f>
        <v>INSERT INTO Contact_ProductLine_Map (ContactId, ProductLineId, RegionId, IsSales, IsPM, IsUserAdvocate) VALUES ((SELECT ContactId FROM Contact WHERE Name = 'Justinas Verbickas'), (SELECT ProductLineId FROM ProductLine WHERE Name = 'ProjectWise Edge'), (SELECT RegionID FROM Region WHERE Name = 'UK'),0,0,1);</v>
      </c>
      <c r="BD19" t="str">
        <f>assignmentSQL('Master Table'!BD19,'Master Table'!BD$1,'Master Table'!$A19,'Master Table'!$B19)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'UK'),0,0,1);</v>
      </c>
      <c r="BE19" t="str">
        <f>assignmentSQL('Master Table'!BE19,'Master Table'!BE$1,'Master Table'!$A19,'Master Table'!$B19)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'UK'),0,0,1);</v>
      </c>
      <c r="BF19" t="str">
        <f>assignmentSQL('Master Table'!BF19,'Master Table'!BF$1,'Master Table'!$A19,'Master Table'!$B19)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'UK'),0,0,1);</v>
      </c>
      <c r="BG19" t="str">
        <f>assignmentSQL('Master Table'!BG19,'Master Table'!BG$1,'Master Table'!$A19,'Master Table'!$B19)</f>
        <v>INSERT INTO Contact_ProductLine_Map (ContactId, ProductLineId, RegionId, IsSales, IsPM, IsUserAdvocate) VALUES ((SELECT ContactId FROM Contact WHERE Name = 'Arturas Baranauskas'), (SELECT ProductLineId FROM ProductLine WHERE Name = 'Deliverables Management'), (SELECT RegionID FROM Region WHERE Name = 'UK'),0,0,1);</v>
      </c>
      <c r="BH19" t="str">
        <f>assignmentSQL('Master Table'!BH19,'Master Table'!BH$1,'Master Table'!$A19,'Master Table'!$B19)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'UK'),0,0,1);</v>
      </c>
      <c r="BI19" t="str">
        <f>assignmentSQL('Master Table'!BI19,'Master Table'!BI$1,'Master Table'!$A19,'Master Table'!$B19)</f>
        <v>INSERT INTO Contact_ProductLine_Map (ContactId, ProductLineId, RegionId, IsSales, IsPM, IsUserAdvocate) VALUES ((SELECT ContactId FROM Contact WHERE Name = 'Justinas Verbickas'), (SELECT ProductLineId FROM ProductLine WHERE Name = 'ProjectWise "Field Data Management'), (SELECT RegionID FROM Region WHERE Name = 'UK'),0,0,1);</v>
      </c>
      <c r="BJ19" t="str">
        <f>assignmentSQL('Master Table'!BJ19,'Master Table'!BJ$1,'Master Table'!$A19,'Master Table'!$B19)</f>
        <v>INSERT INTO Contact_ProductLine_Map (ContactId, ProductLineId, RegionId, IsSales, IsPM, IsUserAdvocate) VALUES ((SELECT ContactId FROM Contact WHERE Name = 'Arturas Zidonis'), (SELECT ProductLineId FROM ProductLine WHERE Name = 'ProjectWise i-model Composition Server for PDF'), (SELECT RegionID FROM Region WHERE Name = 'UK'),0,0,1);</v>
      </c>
      <c r="BK19" t="str">
        <f>assignmentSQL('Master Table'!BK19,'Master Table'!BK$1,'Master Table'!$A19,'Master Table'!$B19)</f>
        <v>INSERT INTO Contact_ProductLine_Map (ContactId, ProductLineId, RegionId, IsSales, IsPM, IsUserAdvocate) VALUES ((SELECT ContactId FROM Contact WHERE Name = 'Evert de Jong'), (SELECT ProductLineId FROM ProductLine WHERE Name = 'ProjectWise InterPlot Server and Interplot Organizer'), (SELECT RegionID FROM Region WHERE Name = 'UK'),0,0,1);</v>
      </c>
      <c r="BL19" t="str">
        <f>assignmentSQL('Master Table'!BL19,'Master Table'!BL$1,'Master Table'!$A19,'Master Table'!$B19)</f>
        <v>INSERT INTO Contact_ProductLine_Map (ContactId, ProductLineId, RegionId, IsSales, IsPM, IsUserAdvocate) VALUES ((SELECT ContactId FROM Contact WHERE Name = 'Evert de Jong'), (SELECT ProductLineId FROM ProductLine WHERE Name = 'ProjectWise i-model Composition Server for i-models'), (SELECT RegionID FROM Region WHERE Name = 'UK'),0,0,1);</v>
      </c>
    </row>
    <row r="20" spans="3:64" x14ac:dyDescent="0.25">
      <c r="C20" t="str">
        <f>assignmentSQL('Master Table'!C20,'Master Table'!C$1,'Master Table'!$A20,'Master Table'!$B20)</f>
        <v/>
      </c>
      <c r="D20" t="str">
        <f>assignmentSQL('Master Table'!D20,'Master Table'!D$1,'Master Table'!$A20,'Master Table'!$B20)</f>
        <v/>
      </c>
      <c r="E20" t="str">
        <f>assignmentSQL('Master Table'!E20,'Master Table'!E$1,'Master Table'!$A20,'Master Table'!$B20)</f>
        <v/>
      </c>
      <c r="F20" t="str">
        <f>assignmentSQL('Master Table'!F20,'Master Table'!F$1,'Master Table'!$A20,'Master Table'!$B20)</f>
        <v/>
      </c>
      <c r="G20" t="str">
        <f>assignmentSQL('Master Table'!G20,'Master Table'!G$1,'Master Table'!$A20,'Master Table'!$B20)</f>
        <v/>
      </c>
      <c r="H20" t="str">
        <f>assignmentSQL('Master Table'!H20,'Master Table'!H$1,'Master Table'!$A20,'Master Table'!$B20)</f>
        <v/>
      </c>
      <c r="I20" t="str">
        <f>assignmentSQL('Master Table'!I20,'Master Table'!I$1,'Master Table'!$A20,'Master Table'!$B20)</f>
        <v/>
      </c>
      <c r="J20" t="str">
        <f>assignmentSQL('Master Table'!J20,'Master Table'!J$1,'Master Table'!$A20,'Master Table'!$B20)</f>
        <v/>
      </c>
      <c r="K20" t="str">
        <f>assignmentSQL('Master Table'!K20,'Master Table'!K$1,'Master Table'!$A20,'Master Table'!$B20)</f>
        <v/>
      </c>
      <c r="L20" t="str">
        <f>assignmentSQL('Master Table'!L20,'Master Table'!L$1,'Master Table'!$A20,'Master Table'!$B20)</f>
        <v/>
      </c>
      <c r="M20" t="str">
        <f>assignmentSQL('Master Table'!M20,'Master Table'!M$1,'Master Table'!$A20,'Master Table'!$B20)</f>
        <v/>
      </c>
      <c r="N20" t="str">
        <f>assignmentSQL('Master Table'!N20,'Master Table'!N$1,'Master Table'!$A20,'Master Table'!$B20)</f>
        <v>INSERT INTO Contact_ProductLine_Map (ContactId, ProductLineId, RegionId, IsSales, IsPM, IsUserAdvocate) VALUES ((SELECT ContactId FROM Contact WHERE Name = 'Na Li'), (SELECT ProductLineId FROM ProductLine WHERE Name = 'AECOsim Building Designer'),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'AECOsim Building Designer'), (SELECT RegionID FROM Region WHERE Name = 'China'),1,0,0);</v>
      </c>
      <c r="O20" t="str">
        <f>assignmentSQL('Master Table'!O20,'Master Table'!O$1,'Master Table'!$A20,'Master Table'!$B20)</f>
        <v>INSERT INTO Contact_ProductLine_Map (ContactId, ProductLineId, RegionId, IsSales, IsPM, IsUserAdvocate) VALUES ((SELECT ContactId FROM Contact WHERE Name = 'Na Li'), (SELECT ProductLineId FROM ProductLine WHERE Name = 'speedikon'),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'speedikon'), (SELECT RegionID FROM Region WHERE Name = 'China'),1,0,0);</v>
      </c>
      <c r="P20" t="str">
        <f>assignmentSQL('Master Table'!P20,'Master Table'!P$1,'Master Table'!$A20,'Master Table'!$B20)</f>
        <v>INSERT INTO Contact_ProductLine_Map (ContactId, ProductLineId, RegionId, IsSales, IsPM, IsUserAdvocate) VALUES ((SELECT ContactId FROM Contact WHERE Name = 'Na Li'), (SELECT ProductLineId FROM ProductLine WHERE Name = 'Hevacomp'),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'Hevacomp'), (SELECT RegionID FROM Region WHERE Name = 'China'),1,0,0);</v>
      </c>
      <c r="Q20" t="str">
        <f>assignmentSQL('Master Table'!Q20,'Master Table'!Q$1,'Master Table'!$A20,'Master Table'!$B20)</f>
        <v>INSERT INTO Contact_ProductLine_Map (ContactId, ProductLineId, RegionId, IsSales, IsPM, IsUserAdvocate) VALUES ((SELECT ContactId FROM Contact WHERE Name = 'Peimeng Liu'), (SELECT ProductLineId FROM ProductLine WHERE Name = 'GEOPAK'), (SELECT RegionID FROM Region WHERE Name = 'China'),1,0,0);</v>
      </c>
      <c r="R20" t="str">
        <f>assignmentSQL('Master Table'!R20,'Master Table'!R$1,'Master Table'!$A20,'Master Table'!$B20)</f>
        <v>INSERT INTO Contact_ProductLine_Map (ContactId, ProductLineId, RegionId, IsSales, IsPM, IsUserAdvocate) VALUES ((SELECT ContactId FROM Contact WHERE Name = 'Xiuxia Wang'), (SELECT ProductLineId FROM ProductLine WHERE Name = 'InRoads'),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'InRoads'), (SELECT RegionID FROM Region WHERE Name = 'China'),1,0,0);</v>
      </c>
      <c r="S20" t="str">
        <f>assignmentSQL('Master Table'!S20,'Master Table'!S$1,'Master Table'!$A20,'Master Table'!$B20)</f>
        <v>INSERT INTO Contact_ProductLine_Map (ContactId, ProductLineId, RegionId, IsSales, IsPM, IsUserAdvocate) VALUES ((SELECT ContactId FROM Contact WHERE Name = 'Xiuxia Wang'), (SELECT ProductLineId FROM ProductLine WHERE Name = 'MX'),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'MX'), (SELECT RegionID FROM Region WHERE Name = 'China'),1,0,0);</v>
      </c>
      <c r="T20" t="str">
        <f>assignmentSQL('Master Table'!T20,'Master Table'!T$1,'Master Table'!$A20,'Master Table'!$B20)</f>
        <v>INSERT INTO Contact_ProductLine_Map (ContactId, ProductLineId, RegionId, IsSales, IsPM, IsUserAdvocate) VALUES ((SELECT ContactId FROM Contact WHERE Name = 'Xiuxia Wang'), (SELECT ProductLineId FROM ProductLine WHERE Name = 'OpenRail'),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'OpenRail'), (SELECT RegionID FROM Region WHERE Name = 'China'),1,0,0);</v>
      </c>
      <c r="U20" t="str">
        <f>assignmentSQL('Master Table'!U20,'Master Table'!U$1,'Master Table'!$A20,'Master Table'!$B20)</f>
        <v>INSERT INTO Contact_ProductLine_Map (ContactId, ProductLineId, RegionId, IsSales, IsPM, IsUserAdvocate) VALUES ((SELECT ContactId FROM Contact WHERE Name = 'Xiuxia Wang'), (SELECT ProductLineId FROM ProductLine WHERE Name = 'OpenRoads'),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'OpenRoads'), (SELECT RegionID FROM Region WHERE Name = 'China'),1,0,0);</v>
      </c>
      <c r="V20" t="str">
        <f>assignmentSQL('Master Table'!V20,'Master Table'!V$1,'Master Table'!$A20,'Master Table'!$B20)</f>
        <v>INSERT INTO Contact_ProductLine_Map (ContactId, ProductLineId, RegionId, IsSales, IsPM, IsUserAdvocate) VALUES ((SELECT ContactId FROM Contact WHERE Name = 'Xiuxia Wang'), (SELECT ProductLineId FROM ProductLine WHERE Name = 'ConceptStation'),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'ConceptStation'), (SELECT RegionID FROM Region WHERE Name = 'China'),1,0,0);</v>
      </c>
      <c r="W20" t="str">
        <f>assignmentSQL('Master Table'!W20,'Master Table'!W$1,'Master Table'!$A20,'Master Table'!$B20)</f>
        <v>INSERT INTO Contact_ProductLine_Map (ContactId, ProductLineId, RegionId, IsSales, IsPM, IsUserAdvocate) VALUES ((SELECT ContactId FROM Contact WHERE Name = 'Xiuxia Wang'), (SELECT ProductLineId FROM ProductLine WHERE Name = 'gINT'),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'gINT'), (SELECT RegionID FROM Region WHERE Name = 'China'),1,0,0);</v>
      </c>
      <c r="X20" t="str">
        <f>assignmentSQL('Master Table'!X20,'Master Table'!X$1,'Master Table'!$A20,'Master Table'!$B20)</f>
        <v>INSERT INTO Contact_ProductLine_Map (ContactId, ProductLineId, RegionId, IsSales, IsPM, IsUserAdvocate) VALUES ((SELECT ContactId FROM Contact WHERE Name = 'Jia Wen'), (SELECT ProductLineId FROM ProductLine WHERE Name = 'AutoPLANT'),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'AutoPLANT'), (SELECT RegionID FROM Region WHERE Name = 'China'),1,0,0);</v>
      </c>
      <c r="Y20" t="str">
        <f>assignmentSQL('Master Table'!Y20,'Master Table'!Y$1,'Master Table'!$A20,'Master Table'!$B20)</f>
        <v>INSERT INTO Contact_ProductLine_Map (ContactId, ProductLineId, RegionId, IsSales, IsPM, IsUserAdvocate) VALUES ((SELECT ContactId FROM Contact WHERE Name = 'Jia Wen'), (SELECT ProductLineId FROM ProductLine WHERE Name = 'AXSYS'),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'AXSYS'), (SELECT RegionID FROM Region WHERE Name = 'China'),1,0,0);</v>
      </c>
      <c r="Z20" t="str">
        <f>assignmentSQL('Master Table'!Z20,'Master Table'!Z$1,'Master Table'!$A20,'Master Table'!$B20)</f>
        <v>INSERT INTO Contact_ProductLine_Map (ContactId, ProductLineId, RegionId, IsSales, IsPM, IsUserAdvocate) VALUES ((SELECT ContactId FROM Contact WHERE Name = 'Jia Wen'), (SELECT ProductLineId FROM ProductLine WHERE Name = 'OpenPlant'),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'OpenPlant'), (SELECT RegionID FROM Region WHERE Name = 'China'),1,0,0);</v>
      </c>
      <c r="AA20" t="str">
        <f>assignmentSQL('Master Table'!AA20,'Master Table'!AA$1,'Master Table'!$A20,'Master Table'!$B20)</f>
        <v>INSERT INTO Contact_ProductLine_Map (ContactId, ProductLineId, RegionId, IsSales, IsPM, IsUserAdvocate) VALUES ((SELECT ContactId FROM Contact WHERE Name = 'Jia Wen'), (SELECT ProductLineId FROM ProductLine WHERE Name = 'PlantSpace'),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'PlantSpace'), (SELECT RegionID FROM Region WHERE Name = 'China'),1,0,0);</v>
      </c>
      <c r="AB20" t="str">
        <f>assignmentSQL('Master Table'!AB20,'Master Table'!AB$1,'Master Table'!$A20,'Master Table'!$B20)</f>
        <v>INSERT INTO Contact_ProductLine_Map (ContactId, ProductLineId, RegionId, IsSales, IsPM, IsUserAdvocate) VALUES ((SELECT ContactId FROM Contact WHERE Name = 'Jia Wen'), (SELECT ProductLineId FROM ProductLine WHERE Name = 'MineCycle'),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'MineCycle'), (SELECT RegionID FROM Region WHERE Name = 'China'),1,0,0);</v>
      </c>
      <c r="AC20" t="str">
        <f>assignmentSQL('Master Table'!AC20,'Master Table'!AC$1,'Master Table'!$A20,'Master Table'!$B20)</f>
        <v>INSERT INTO Contact_ProductLine_Map (ContactId, ProductLineId, RegionId, IsSales, IsPM, IsUserAdvocate) VALUES ((SELECT ContactId FROM Contact WHERE Name = 'Jia Wen'), (SELECT ProductLineId FROM ProductLine WHERE Name = 'Plantwise'),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'Plantwise'), (SELECT RegionID FROM Region WHERE Name = 'China'),1,0,0);</v>
      </c>
      <c r="AD20" t="str">
        <f>assignmentSQL('Master Table'!AD20,'Master Table'!AD$1,'Master Table'!$A20,'Master Table'!$B20)</f>
        <v>INSERT INTO Contact_ProductLine_Map (ContactId, ProductLineId, RegionId, IsSales, IsPM, IsUserAdvocate) VALUES ((SELECT ContactId FROM Contact WHERE Name = 'Alex Yang Steven'), (SELECT ProductLineId FROM ProductLine WHERE Name = 'Pointools'), (SELECT RegionID FROM Region WHERE Name = 'China'),1,0,0);</v>
      </c>
      <c r="AE20" t="str">
        <f>assignmentSQL('Master Table'!AE20,'Master Table'!AE$1,'Master Table'!$A20,'Master Table'!$B20)</f>
        <v>INSERT INTO Contact_ProductLine_Map (ContactId, ProductLineId, RegionId, IsSales, IsPM, IsUserAdvocate) VALUES ((SELECT ContactId FROM Contact WHERE Name = 'Alex Yang Steven'), (SELECT ProductLineId FROM ProductLine WHERE Name = 'LumenRT'), (SELECT RegionID FROM Region WHERE Name = 'China'),1,0,0);</v>
      </c>
      <c r="AF20" t="str">
        <f>assignmentSQL('Master Table'!AF20,'Master Table'!AF$1,'Master Table'!$A20,'Master Table'!$B20)</f>
        <v>INSERT INTO Contact_ProductLine_Map (ContactId, ProductLineId, RegionId, IsSales, IsPM, IsUserAdvocate) VALUES ((SELECT ContactId FROM Contact WHERE Name = 'Alex Yang Steven'), (SELECT ProductLineId FROM ProductLine WHERE Name = 'ContextCapture'), (SELECT RegionID FROM Region WHERE Name = 'China'),1,0,0);</v>
      </c>
      <c r="AG20" t="str">
        <f>assignmentSQL('Master Table'!AG20,'Master Table'!AG$1,'Master Table'!$A20,'Master Table'!$B20)</f>
        <v>INSERT INTO Contact_ProductLine_Map (ContactId, ProductLineId, RegionId, IsSales, IsPM, IsUserAdvocate) VALUES ((SELECT ContactId FROM Contact WHERE Name = 'Alex Yang Steven'), (SELECT ProductLineId FROM ProductLine WHERE Name = 'Descartes'), (SELECT RegionID FROM Region WHERE Name = 'China'),1,0,0);</v>
      </c>
      <c r="AH20" t="str">
        <f>assignmentSQL('Master Table'!AH20,'Master Table'!AH$1,'Master Table'!$A20,'Master Table'!$B20)</f>
        <v>INSERT INTO Contact_ProductLine_Map (ContactId, ProductLineId, RegionId, IsSales, IsPM, IsUserAdvocate) VALUES ((SELECT ContactId FROM Contact WHERE Name = 'Xiuxia Wang'), (SELECT ProductLineId FROM ProductLine WHERE Name = 'ProStructures'), (SELECT RegionID FROM Region WHERE Name = 'China'),1,0,0);INSERT INTO Contact_ProductLine_Map (ContactId, ProductLineId, RegionId, IsSales, IsPM, IsUserAdvocate) VALUES ((SELECT ContactId FROM Contact WHERE Name = 'Steven Chau'), (SELECT ProductLineId FROM ProductLine WHERE Name = 'ProStructures'), (SELECT RegionID FROM Region WHERE Name = 'China'),1,0,0);</v>
      </c>
      <c r="AI20" t="str">
        <f>assignmentSQL('Master Table'!AI20,'Master Table'!AI$1,'Master Table'!$A20,'Master Table'!$B20)</f>
        <v>INSERT INTO Contact_ProductLine_Map (ContactId, ProductLineId, RegionId, IsSales, IsPM, IsUserAdvocate) VALUES ((SELECT ContactId FROM Contact WHERE Name = 'Peimeng Liu'), (SELECT ProductLineId FROM ProductLine WHERE Name = 'promis*e'), (SELECT RegionID FROM Region WHERE Name = 'China'),1,0,0);</v>
      </c>
      <c r="AJ20" t="str">
        <f>assignmentSQL('Master Table'!AJ20,'Master Table'!AJ$1,'Master Table'!$A20,'Master Table'!$B20)</f>
        <v>INSERT INTO Contact_ProductLine_Map (ContactId, ProductLineId, RegionId, IsSales, IsPM, IsUserAdvocate) VALUES ((SELECT ContactId FROM Contact WHERE Name = 'George Castle'), (SELECT ProductLineId FROM ProductLine WHERE Name = 'AssetWise'), (SELECT RegionID FROM Region WHERE Name = 'China'),1,0,0);</v>
      </c>
      <c r="AK20" t="str">
        <f>assignmentSQL('Master Table'!AK20,'Master Table'!AK$1,'Master Table'!$A20,'Master Table'!$B20)</f>
        <v>INSERT INTO Contact_ProductLine_Map (ContactId, ProductLineId, RegionId, IsSales, IsPM, IsUserAdvocate) VALUES ((SELECT ContactId FROM Contact WHERE Name = 'David Smith'), (SELECT ProductLineId FROM ProductLine WHERE Name = 'AssetWise APM'), (SELECT RegionID FROM Region WHERE Name = 'China'),1,0,0);</v>
      </c>
      <c r="AL20" t="str">
        <f>assignmentSQL('Master Table'!AL20,'Master Table'!AL$1,'Master Table'!$A20,'Master Table'!$B20)</f>
        <v>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'China'),1,0,0);INSERT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'China'),1,0,0);INSERT INTO Contact_ProductLine_Map (ContactId, ProductLineId, RegionId, IsSales, IsPM, IsUserAdvocate) VALUES ((SELECT ContactId FROM Contact WHERE Name = 'Jim Lucas'), (SELECT ProductLineId FROM ProductLine WHERE Name = 'OpenUtilities'), (SELECT RegionID FROM Region WHERE Name = 'China'),1,0,0);</v>
      </c>
      <c r="AM20" t="str">
        <f>assignmentSQL('Master Table'!AM20,'Master Table'!AM$1,'Master Table'!$A20,'Master Table'!$B20)</f>
        <v>INSERT INTO Contact_ProductLine_Map (ContactId, ProductLineId, RegionId, IsSales, IsPM, IsUserAdvocate) VALUES ((SELECT ContactId FROM Contact WHERE Name = 'Gaurav Malik'), (SELECT ProductLineId FROM ProductLine WHERE Name = 'Map'), (SELECT RegionID FROM Region WHERE Name = 'China'),1,0,0);INSERT INTO Contact_ProductLine_Map (ContactId, ProductLineId, RegionId, IsSales, IsPM, IsUserAdvocate) VALUES ((SELECT ContactId FROM Contact WHERE Name = 'Suneet Manjavkar'), (SELECT ProductLineId FROM ProductLine WHERE Name = 'Map'), (SELECT RegionID FROM Region WHERE Name = 'China'),1,0,0);</v>
      </c>
      <c r="AN20" t="str">
        <f>assignmentSQL('Master Table'!AN20,'Master Table'!AN$1,'Master Table'!$A20,'Master Table'!$B20)</f>
        <v>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'China'),1,0,0);INSERT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'China'),1,0,0);INSERT INTO Contact_ProductLine_Map (ContactId, ProductLineId, RegionId, IsSales, IsPM, IsUserAdvocate) VALUES ((SELECT ContactId FROM Contact WHERE Name = 'Jim Lucas'), (SELECT ProductLineId FROM ProductLine WHERE Name = 'OpenComms'), (SELECT RegionID FROM Region WHERE Name = 'China'),1,0,0);</v>
      </c>
      <c r="AO20" t="str">
        <f>assignmentSQL('Master Table'!AO20,'Master Table'!AO$1,'Master Table'!$A20,'Master Table'!$B20)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'China'),1,0,0);INSERT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'China'),1,0,0);</v>
      </c>
      <c r="AP20" t="str">
        <f>assignmentSQL('Master Table'!AP20,'Master Table'!AP$1,'Master Table'!$A20,'Master Table'!$B20)</f>
        <v>INSERT INTO Contact_ProductLine_Map (ContactId, ProductLineId, RegionId, IsSales, IsPM, IsUserAdvocate) VALUES ((SELECT ContactId FROM Contact WHERE Name = 'Vincent Ng'), (SELECT ProductLineId FROM ProductLine WHERE Name = 'Haestad'), (SELECT RegionID FROM Region WHERE Name = 'China'),1,0,0);</v>
      </c>
      <c r="AQ20" t="str">
        <f>assignmentSQL('Master Table'!AQ20,'Master Table'!AQ$1,'Master Table'!$A20,'Master Table'!$B20)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'China'),1,0,0);INSERT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'China'),1,0,0);</v>
      </c>
      <c r="AR20" t="str">
        <f>assignmentSQL('Master Table'!AR20,'Master Table'!AR$1,'Master Table'!$A20,'Master Table'!$B20)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'China'),1,0,0);</v>
      </c>
      <c r="AS20" t="str">
        <f>assignmentSQL('Master Table'!AS20,'Master Table'!AS$1,'Master Table'!$A20,'Master Table'!$B20)</f>
        <v>INSERT INTO Contact_ProductLine_Map (ContactId, ProductLineId, RegionId, IsSales, IsPM, IsUserAdvocate) VALUES ((SELECT ContactId FROM Contact WHERE Name = 'David Smith'), (SELECT ProductLineId FROM ProductLine WHERE Name = 'Amulet'), (SELECT RegionID FROM Region WHERE Name = 'China'),1,0,0);</v>
      </c>
      <c r="AT20" t="str">
        <f>assignmentSQL('Master Table'!AT20,'Master Table'!AT$1,'Master Table'!$A20,'Master Table'!$B20)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'China'),1,0,0);</v>
      </c>
      <c r="AU20" t="str">
        <f>assignmentSQL('Master Table'!AU20,'Master Table'!AU$1,'Master Table'!$A20,'Master Table'!$B20)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'China'),1,0,0);</v>
      </c>
      <c r="AV20" t="str">
        <f>assignmentSQL('Master Table'!AV20,'Master Table'!AV$1,'Master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Design Integration'), (SELECT RegionID FROM Region WHERE Name = 'China'),1,0,0);</v>
      </c>
      <c r="AW20" t="str">
        <f>assignmentSQL('Master Table'!AW20,'Master Table'!AW$1,'Master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Issues Resolution'), (SELECT RegionID FROM Region WHERE Name = 'China'),1,0,0);</v>
      </c>
      <c r="AX20" t="str">
        <f>assignmentSQL('Master Table'!AX20,'Master Table'!AX$1,'Master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Explorer Civil 3D Integration Module'), (SELECT RegionID FROM Region WHERE Name = 'China'),1,0,0);</v>
      </c>
      <c r="AY20" t="str">
        <f>assignmentSQL('Master Table'!AY20,'Master Table'!AY$1,'Master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Explorer Revit Integration Module'), (SELECT RegionID FROM Region WHERE Name = 'China'),1,0,0);</v>
      </c>
      <c r="AZ20" t="str">
        <f>assignmentSQL('Master Table'!AZ20,'Master Table'!AZ$1,'Master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Explorer Office Integration Module'), (SELECT RegionID FROM Region WHERE Name = 'China'),1,0,0);</v>
      </c>
      <c r="BA20" t="str">
        <f>assignmentSQL('Master Table'!BA20,'Master Table'!BA$1,'Master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Edge Mobile'), (SELECT RegionID FROM Region WHERE Name = 'China'),1,0,0);</v>
      </c>
      <c r="BB20" t="str">
        <f>assignmentSQL('Master Table'!BB20,'Master Table'!BB$1,'Master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WorkSite'), (SELECT RegionID FROM Region WHERE Name = 'China'),1,0,0);</v>
      </c>
      <c r="BC20" t="str">
        <f>assignmentSQL('Master Table'!BC20,'Master Table'!BC$1,'Master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Edge'), (SELECT RegionID FROM Region WHERE Name = 'China'),1,0,0);</v>
      </c>
      <c r="BD20" t="str">
        <f>assignmentSQL('Master Table'!BD20,'Master Table'!BD$1,'Master Table'!$A20,'Master Table'!$B20)</f>
        <v>INSERT INTO Contact_ProductLine_Map (ContactId, ProductLineId, RegionId, IsSales, IsPM, IsUserAdvocate) VALUES ((SELECT ContactId FROM Contact WHERE Name = 'Peng Du'), (SELECT ProductLineId FROM ProductLine WHERE Name = 'Navigator CE'), (SELECT RegionID FROM Region WHERE Name = 'China'),1,0,0);</v>
      </c>
      <c r="BE20" t="str">
        <f>assignmentSQL('Master Table'!BE20,'Master Table'!BE$1,'Master Table'!$A20,'Master Table'!$B20)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'China'),1,0,0);</v>
      </c>
      <c r="BF20" t="str">
        <f>assignmentSQL('Master Table'!BF20,'Master Table'!BF$1,'Master Table'!$A20,'Master Table'!$B20)</f>
        <v>INSERT INTO Contact_ProductLine_Map (ContactId, ProductLineId, RegionId, IsSales, IsPM, IsUserAdvocate) VALUES ((SELECT ContactId FROM Contact WHERE Name = 'Eric Law'), (SELECT ProductLineId FROM ProductLine WHERE Name = 'EADOC UI Upgrade'), (SELECT RegionID FROM Region WHERE Name = 'China'),1,0,0);</v>
      </c>
      <c r="BG20" t="str">
        <f>assignmentSQL('Master Table'!BG20,'Master Table'!BG$1,'Master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'Deliverables Management'), (SELECT RegionID FROM Region WHERE Name = 'China'),1,0,0);</v>
      </c>
      <c r="BH20" t="str">
        <f>assignmentSQL('Master Table'!BH20,'Master Table'!BH$1,'Master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'Bentley Automation Service CONNECT Edition'), (SELECT RegionID FROM Region WHERE Name = 'China'),1,0,0);</v>
      </c>
      <c r="BI20" t="str">
        <f>assignmentSQL('Master Table'!BI20,'Master Table'!BI$1,'Master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"Field Data Management'), (SELECT RegionID FROM Region WHERE Name = 'China'),1,0,0);</v>
      </c>
      <c r="BJ20" t="str">
        <f>assignmentSQL('Master Table'!BJ20,'Master Table'!BJ$1,'Master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PDF'), (SELECT RegionID FROM Region WHERE Name = 'China'),1,0,0);</v>
      </c>
      <c r="BK20" t="str">
        <f>assignmentSQL('Master Table'!BK20,'Master Table'!BK$1,'Master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InterPlot Server and Interplot Organizer'), (SELECT RegionID FROM Region WHERE Name = 'China'),1,0,0);</v>
      </c>
      <c r="BL20" t="str">
        <f>assignmentSQL('Master Table'!BL20,'Master Table'!BL$1,'Master Table'!$A20,'Master Table'!$B20)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i-models'), (SELECT RegionID FROM Region WHERE Name = 'China'),1,0,0);</v>
      </c>
    </row>
    <row r="21" spans="3:64" x14ac:dyDescent="0.25">
      <c r="C21" t="str">
        <f>assignmentSQL('Master Table'!C21,'Master Table'!C$1,'Master Table'!$A21,'Master Table'!$B21)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'China'),0,1,0);</v>
      </c>
      <c r="D21" t="str">
        <f>assignmentSQL('Master Table'!D21,'Master Table'!D$1,'Master Table'!$A21,'Master Table'!$B21)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'China'),0,1,0);</v>
      </c>
      <c r="E21" t="str">
        <f>assignmentSQL('Master Table'!E21,'Master Table'!E$1,'Master Table'!$A21,'Master Table'!$B21)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'China'),0,1,0);INSERT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'China'),0,1,0);</v>
      </c>
      <c r="F21" t="str">
        <f>assignmentSQL('Master Table'!F21,'Master Table'!F$1,'Master Table'!$A21,'Master Table'!$B21)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'China'),0,1,0);</v>
      </c>
      <c r="G21" t="str">
        <f>assignmentSQL('Master Table'!G21,'Master Table'!G$1,'Master Table'!$A21,'Master Table'!$B21)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'China'),0,1,0);</v>
      </c>
      <c r="H21" t="str">
        <f>assignmentSQL('Master Table'!H21,'Master Table'!H$1,'Master Table'!$A21,'Master Table'!$B21)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'China'),0,1,0);</v>
      </c>
      <c r="I21" t="str">
        <f>assignmentSQL('Master Table'!I21,'Master Table'!I$1,'Master Table'!$A21,'Master Table'!$B21)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'China'),0,1,0);</v>
      </c>
      <c r="J21" t="str">
        <f>assignmentSQL('Master Table'!J21,'Master Table'!J$1,'Master Table'!$A21,'Master Table'!$B21)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'China'),0,1,0);</v>
      </c>
      <c r="K21" t="str">
        <f>assignmentSQL('Master Table'!K21,'Master Table'!K$1,'Master Table'!$A21,'Master Table'!$B21)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'China'),0,1,0);</v>
      </c>
      <c r="L21" t="str">
        <f>assignmentSQL('Master Table'!L21,'Master Table'!L$1,'Master Table'!$A21,'Master Table'!$B21)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'China'),0,1,0);</v>
      </c>
      <c r="M21" t="str">
        <f>assignmentSQL('Master Table'!M21,'Master Table'!M$1,'Master Table'!$A21,'Master Table'!$B21)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'China'),0,1,0);</v>
      </c>
      <c r="N21" t="str">
        <f>assignmentSQL('Master Table'!N21,'Master Table'!N$1,'Master Table'!$A21,'Master Table'!$B21)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'China'),0,1,0);</v>
      </c>
      <c r="O21" t="str">
        <f>assignmentSQL('Master Table'!O21,'Master Table'!O$1,'Master Table'!$A21,'Master Table'!$B21)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'China'),0,1,0);</v>
      </c>
      <c r="P21" t="str">
        <f>assignmentSQL('Master Table'!P21,'Master Table'!P$1,'Master Table'!$A21,'Master Table'!$B21)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'China'),0,1,0);</v>
      </c>
      <c r="Q21" t="str">
        <f>assignmentSQL('Master Table'!Q21,'Master Table'!Q$1,'Master Table'!$A21,'Master Table'!$B21)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'China'),0,1,0);</v>
      </c>
      <c r="R21" t="str">
        <f>assignmentSQL('Master Table'!R21,'Master Table'!R$1,'Master Table'!$A21,'Master Table'!$B21)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'China'),0,1,0);</v>
      </c>
      <c r="S21" t="str">
        <f>assignmentSQL('Master Table'!S21,'Master Table'!S$1,'Master Table'!$A21,'Master Table'!$B21)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'China'),0,1,0);</v>
      </c>
      <c r="T21" t="str">
        <f>assignmentSQL('Master Table'!T21,'Master Table'!T$1,'Master Table'!$A21,'Master Table'!$B21)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'China'),0,1,0);</v>
      </c>
      <c r="U21" t="str">
        <f>assignmentSQL('Master Table'!U21,'Master Table'!U$1,'Master Table'!$A21,'Master Table'!$B21)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'China'),0,1,0);</v>
      </c>
      <c r="V21" t="str">
        <f>assignmentSQL('Master Table'!V21,'Master Table'!V$1,'Master Table'!$A21,'Master Table'!$B21)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'China'),0,1,0);</v>
      </c>
      <c r="W21" t="str">
        <f>assignmentSQL('Master Table'!W21,'Master Table'!W$1,'Master Table'!$A21,'Master Table'!$B21)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'China'),0,1,0);</v>
      </c>
      <c r="X21" t="str">
        <f>assignmentSQL('Master Table'!X21,'Master Table'!X$1,'Master Table'!$A21,'Master Table'!$B21)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'China'),0,1,0);</v>
      </c>
      <c r="Y21" t="str">
        <f>assignmentSQL('Master Table'!Y21,'Master Table'!Y$1,'Master Table'!$A21,'Master Table'!$B21)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'China'),0,1,0);</v>
      </c>
      <c r="Z21" t="str">
        <f>assignmentSQL('Master Table'!Z21,'Master Table'!Z$1,'Master Table'!$A21,'Master Table'!$B21)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'China'),0,1,0);</v>
      </c>
      <c r="AA21" t="str">
        <f>assignmentSQL('Master Table'!AA21,'Master Table'!AA$1,'Master Table'!$A21,'Master Table'!$B21)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'China'),0,1,0);</v>
      </c>
      <c r="AB21" t="str">
        <f>assignmentSQL('Master Table'!AB21,'Master Table'!AB$1,'Master Table'!$A21,'Master Table'!$B21)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'China'),0,1,0);</v>
      </c>
      <c r="AC21" t="str">
        <f>assignmentSQL('Master Table'!AC21,'Master Table'!AC$1,'Master Table'!$A21,'Master Table'!$B21)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'China'),0,1,0);</v>
      </c>
      <c r="AD21" t="str">
        <f>assignmentSQL('Master Table'!AD21,'Master Table'!AD$1,'Master Table'!$A21,'Master Table'!$B21)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'China'),0,1,0);</v>
      </c>
      <c r="AE21" t="str">
        <f>assignmentSQL('Master Table'!AE21,'Master Table'!AE$1,'Master Table'!$A21,'Master Table'!$B21)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'China'),0,1,0);</v>
      </c>
      <c r="AF21" t="str">
        <f>assignmentSQL('Master Table'!AF21,'Master Table'!AF$1,'Master Table'!$A21,'Master Table'!$B21)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'China'),0,1,0);</v>
      </c>
      <c r="AG21" t="str">
        <f>assignmentSQL('Master Table'!AG21,'Master Table'!AG$1,'Master Table'!$A21,'Master Table'!$B21)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'China'),0,1,0);</v>
      </c>
      <c r="AH21" t="str">
        <f>assignmentSQL('Master Table'!AH21,'Master Table'!AH$1,'Master Table'!$A21,'Master Table'!$B21)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'China'),0,1,0);</v>
      </c>
      <c r="AI21" t="str">
        <f>assignmentSQL('Master Table'!AI21,'Master Table'!AI$1,'Master Table'!$A21,'Master Table'!$B21)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'China'),0,1,0);</v>
      </c>
      <c r="AJ21" t="str">
        <f>assignmentSQL('Master Table'!AJ21,'Master Table'!AJ$1,'Master Table'!$A21,'Master Table'!$B21)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'China'),0,1,0);</v>
      </c>
      <c r="AK21" t="str">
        <f>assignmentSQL('Master Table'!AK21,'Master Table'!AK$1,'Master Table'!$A21,'Master Table'!$B21)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'China'),0,1,0);</v>
      </c>
      <c r="AL21" t="str">
        <f>assignmentSQL('Master Table'!AL21,'Master Table'!AL$1,'Master Table'!$A21,'Master Table'!$B21)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'China'),0,1,0);</v>
      </c>
      <c r="AM21" t="str">
        <f>assignmentSQL('Master Table'!AM21,'Master Table'!AM$1,'Master Table'!$A21,'Master Table'!$B21)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'China'),0,1,0);</v>
      </c>
      <c r="AN21" t="str">
        <f>assignmentSQL('Master Table'!AN21,'Master Table'!AN$1,'Master Table'!$A21,'Master Table'!$B21)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'China'),0,1,0);</v>
      </c>
      <c r="AO21" t="str">
        <f>assignmentSQL('Master Table'!AO21,'Master Table'!AO$1,'Master Table'!$A21,'Master Table'!$B21)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'China'),0,1,0);</v>
      </c>
      <c r="AP21" t="str">
        <f>assignmentSQL('Master Table'!AP21,'Master Table'!AP$1,'Master Table'!$A21,'Master Table'!$B21)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'China'),0,1,0);</v>
      </c>
      <c r="AQ21" t="str">
        <f>assignmentSQL('Master Table'!AQ21,'Master Table'!AQ$1,'Master Table'!$A21,'Master Table'!$B21)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'China'),0,1,0);</v>
      </c>
      <c r="AR21" t="str">
        <f>assignmentSQL('Master Table'!AR21,'Master Table'!AR$1,'Master Table'!$A21,'Master Table'!$B21)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'China'),0,1,0);</v>
      </c>
      <c r="AS21" t="str">
        <f>assignmentSQL('Master Table'!AS21,'Master Table'!AS$1,'Master Table'!$A21,'Master Table'!$B21)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'China'),0,1,0);</v>
      </c>
      <c r="AT21" t="str">
        <f>assignmentSQL('Master Table'!AT21,'Master Table'!AT$1,'Master Table'!$A21,'Master Table'!$B21)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'China'),0,1,0);</v>
      </c>
      <c r="AU21" t="str">
        <f>assignmentSQL('Master Table'!AU21,'Master Table'!AU$1,'Master Table'!$A21,'Master Table'!$B21)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'China'),0,1,0);</v>
      </c>
      <c r="AV21" t="str">
        <f>assignmentSQL('Master Table'!AV21,'Master Table'!AV$1,'Master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'China'),0,1,0);</v>
      </c>
      <c r="AW21" t="str">
        <f>assignmentSQL('Master Table'!AW21,'Master Table'!AW$1,'Master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'China'),0,1,0);</v>
      </c>
      <c r="AX21" t="str">
        <f>assignmentSQL('Master Table'!AX21,'Master Table'!AX$1,'Master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'China'),0,1,0);</v>
      </c>
      <c r="AY21" t="str">
        <f>assignmentSQL('Master Table'!AY21,'Master Table'!AY$1,'Master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'China'),0,1,0);</v>
      </c>
      <c r="AZ21" t="str">
        <f>assignmentSQL('Master Table'!AZ21,'Master Table'!AZ$1,'Master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'China'),0,1,0);</v>
      </c>
      <c r="BA21" t="str">
        <f>assignmentSQL('Master Table'!BA21,'Master Table'!BA$1,'Master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'China'),0,1,0);INSERT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'China'),0,1,0);</v>
      </c>
      <c r="BB21" t="str">
        <f>assignmentSQL('Master Table'!BB21,'Master Table'!BB$1,'Master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'China'),0,1,0);INSERT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'China'),0,1,0);</v>
      </c>
      <c r="BC21" t="str">
        <f>assignmentSQL('Master Table'!BC21,'Master Table'!BC$1,'Master Table'!$A21,'Master Table'!$B21)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'China'),0,1,0);INSERT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'China'),0,1,0);</v>
      </c>
      <c r="BD21" t="str">
        <f>assignmentSQL('Master Table'!BD21,'Master Table'!BD$1,'Master Table'!$A21,'Master Table'!$B21)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'China'),0,1,0);</v>
      </c>
      <c r="BE21" t="str">
        <f>assignmentSQL('Master Table'!BE21,'Master Table'!BE$1,'Master Table'!$A21,'Master Table'!$B21)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'China'),0,1,0);</v>
      </c>
      <c r="BF21" t="str">
        <f>assignmentSQL('Master Table'!BF21,'Master Table'!BF$1,'Master Table'!$A21,'Master Table'!$B21)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'China'),0,1,0);</v>
      </c>
      <c r="BG21" t="str">
        <f>assignmentSQL('Master Table'!BG21,'Master Table'!BG$1,'Master Table'!$A21,'Master Table'!$B21)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'China'),0,1,0);</v>
      </c>
      <c r="BH21" t="str">
        <f>assignmentSQL('Master Table'!BH21,'Master Table'!BH$1,'Master Table'!$A21,'Master Table'!$B21)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'China'),0,1,0);</v>
      </c>
      <c r="BI21" t="str">
        <f>assignmentSQL('Master Table'!BI21,'Master Table'!BI$1,'Master Table'!$A21,'Master Table'!$B21)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'China'),0,1,0);</v>
      </c>
      <c r="BJ21" t="str">
        <f>assignmentSQL('Master Table'!BJ21,'Master Table'!BJ$1,'Master Table'!$A21,'Master Table'!$B21)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'China'),0,1,0);</v>
      </c>
      <c r="BK21" t="str">
        <f>assignmentSQL('Master Table'!BK21,'Master Table'!BK$1,'Master Table'!$A21,'Master Table'!$B21)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'China'),0,1,0);</v>
      </c>
      <c r="BL21" t="str">
        <f>assignmentSQL('Master Table'!BL21,'Master Table'!BL$1,'Master Table'!$A21,'Master Table'!$B21)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'China'),0,1,0);</v>
      </c>
    </row>
    <row r="22" spans="3:64" x14ac:dyDescent="0.25">
      <c r="C22" t="str">
        <f>assignmentSQL('Master Table'!C22,'Master Table'!C$1,'Master Table'!$A22,'Master Table'!$B22)</f>
        <v>INSERT INTO Contact_ProductLine_Map (ContactId, ProductLineId, RegionId, IsSales, IsPM, IsUserAdvocate) VALUES ((SELECT ContactId FROM Contact WHERE Name = 'Madhan Elumalai'), (SELECT ProductLineId FROM ProductLine WHERE Name = 'STAAD'), (SELECT RegionID FROM Region WHERE Name = 'China'),0,0,1);</v>
      </c>
      <c r="D22" t="str">
        <f>assignmentSQL('Master Table'!D22,'Master Table'!D$1,'Master Table'!$A22,'Master Table'!$B22)</f>
        <v>INSERT INTO Contact_ProductLine_Map (ContactId, ProductLineId, RegionId, IsSales, IsPM, IsUserAdvocate) VALUES ((SELECT ContactId FROM Contact WHERE Name = 'Madhan Elumalai'), (SELECT ProductLineId FROM ProductLine WHERE Name = 'RAM'), (SELECT RegionID FROM Region WHERE Name = 'China'),0,0,1);</v>
      </c>
      <c r="E22" t="str">
        <f>assignmentSQL('Master Table'!E22,'Master Table'!E$1,'Master Table'!$A22,'Master Table'!$B22)</f>
        <v>INSERT INTO Contact_ProductLine_Map (ContactId, ProductLineId, RegionId, IsSales, IsPM, IsUserAdvocate) VALUES ((SELECT ContactId FROM Contact WHERE Name = 'Madhan Elumalai'), (SELECT ProductLineId FROM ProductLine WHERE Name = 'AUTOPIPE'), (SELECT RegionID FROM Region WHERE Name = 'China'),0,0,1);</v>
      </c>
      <c r="F22" t="str">
        <f>assignmentSQL('Master Table'!F22,'Master Table'!F$1,'Master Table'!$A22,'Master Table'!$B22)</f>
        <v>INSERT INTO Contact_ProductLine_Map (ContactId, ProductLineId, RegionId, IsSales, IsPM, IsUserAdvocate) VALUES ((SELECT ContactId FROM Contact WHERE Name = 'Kevin Meng'), (SELECT ProductLineId FROM ProductLine WHERE Name = 'SACS'), (SELECT RegionID FROM Region WHERE Name = 'China'),0,0,1);</v>
      </c>
      <c r="G22" t="str">
        <f>assignmentSQL('Master Table'!G22,'Master Table'!G$1,'Master Table'!$A22,'Master Table'!$B22)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'China'),0,0,1);</v>
      </c>
      <c r="H22" t="str">
        <f>assignmentSQL('Master Table'!H22,'Master Table'!H$1,'Master Table'!$A22,'Master Table'!$B22)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'China'),0,0,1);</v>
      </c>
      <c r="I22" t="str">
        <f>assignmentSQL('Master Table'!I22,'Master Table'!I$1,'Master Table'!$A22,'Master Table'!$B22)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'China'),0,0,1);</v>
      </c>
      <c r="J22" t="str">
        <f>assignmentSQL('Master Table'!J22,'Master Table'!J$1,'Master Table'!$A22,'Master Table'!$B22)</f>
        <v>INSERT INTO Contact_ProductLine_Map (ContactId, ProductLineId, RegionId, IsSales, IsPM, IsUserAdvocate) VALUES ((SELECT ContactId FROM Contact WHERE Name = 'Ignacio Almagro'), (SELECT ProductLineId FROM ProductLine WHERE Name = 'LEAP'), (SELECT RegionID FROM Region WHERE Name = 'China'),0,0,1);</v>
      </c>
      <c r="K22" t="str">
        <f>assignmentSQL('Master Table'!K22,'Master Table'!K$1,'Master Table'!$A22,'Master Table'!$B22)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'China'),0,0,1);</v>
      </c>
      <c r="L22" t="str">
        <f>assignmentSQL('Master Table'!L22,'Master Table'!L$1,'Master Table'!$A22,'Master Table'!$B22)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'China'),0,0,1);</v>
      </c>
      <c r="M22" t="str">
        <f>assignmentSQL('Master Table'!M22,'Master Table'!M$1,'Master Table'!$A22,'Master Table'!$B22)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'China'),0,0,1);</v>
      </c>
      <c r="N22" t="str">
        <f>assignmentSQL('Master Table'!N22,'Master Table'!N$1,'Master Table'!$A22,'Master Table'!$B22)</f>
        <v>INSERT INTO Contact_ProductLine_Map (ContactId, ProductLineId, RegionId, IsSales, IsPM, IsUserAdvocate) VALUES ((SELECT ContactId FROM Contact WHERE Name = 'Shunnai Zhao'), (SELECT ProductLineId FROM ProductLine WHERE Name = 'AECOsim Building Designer'), (SELECT RegionID FROM Region WHERE Name = 'China'),0,0,1);</v>
      </c>
      <c r="O22" t="str">
        <f>assignmentSQL('Master Table'!O22,'Master Table'!O$1,'Master Table'!$A22,'Master Table'!$B22)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'China'),0,0,1);</v>
      </c>
      <c r="P22" t="str">
        <f>assignmentSQL('Master Table'!P22,'Master Table'!P$1,'Master Table'!$A22,'Master Table'!$B22)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'China'),0,0,1);</v>
      </c>
      <c r="Q22" t="str">
        <f>assignmentSQL('Master Table'!Q22,'Master Table'!Q$1,'Master Table'!$A22,'Master Table'!$B22)</f>
        <v>INSERT INTO Contact_ProductLine_Map (ContactId, ProductLineId, RegionId, IsSales, IsPM, IsUserAdvocate) VALUES ((SELECT ContactId FROM Contact WHERE Name = 'Chen Chen'), (SELECT ProductLineId FROM ProductLine WHERE Name = 'GEOPAK'), (SELECT RegionID FROM Region WHERE Name = 'China'),0,0,1);</v>
      </c>
      <c r="R22" t="str">
        <f>assignmentSQL('Master Table'!R22,'Master Table'!R$1,'Master Table'!$A22,'Master Table'!$B22)</f>
        <v>INSERT INTO Contact_ProductLine_Map (ContactId, ProductLineId, RegionId, IsSales, IsPM, IsUserAdvocate) VALUES ((SELECT ContactId FROM Contact WHERE Name = 'Chen Chen'), (SELECT ProductLineId FROM ProductLine WHERE Name = 'InRoads'), (SELECT RegionID FROM Region WHERE Name = 'China'),0,0,1);</v>
      </c>
      <c r="S22" t="str">
        <f>assignmentSQL('Master Table'!S22,'Master Table'!S$1,'Master Table'!$A22,'Master Table'!$B22)</f>
        <v>INSERT INTO Contact_ProductLine_Map (ContactId, ProductLineId, RegionId, IsSales, IsPM, IsUserAdvocate) VALUES ((SELECT ContactId FROM Contact WHERE Name = 'Chen Chen'), (SELECT ProductLineId FROM ProductLine WHERE Name = 'MX'), (SELECT RegionID FROM Region WHERE Name = 'China'),0,0,1);</v>
      </c>
      <c r="T22" t="str">
        <f>assignmentSQL('Master Table'!T22,'Master Table'!T$1,'Master Table'!$A22,'Master Table'!$B22)</f>
        <v/>
      </c>
      <c r="U22" t="str">
        <f>assignmentSQL('Master Table'!U22,'Master Table'!U$1,'Master Table'!$A22,'Master Table'!$B22)</f>
        <v>INSERT INTO Contact_ProductLine_Map (ContactId, ProductLineId, RegionId, IsSales, IsPM, IsUserAdvocate) VALUES ((SELECT ContactId FROM Contact WHERE Name = 'Chen Chen'), (SELECT ProductLineId FROM ProductLine WHERE Name = 'OpenRoads'), (SELECT RegionID FROM Region WHERE Name = 'China'),0,0,1);</v>
      </c>
      <c r="V22" t="str">
        <f>assignmentSQL('Master Table'!V22,'Master Table'!V$1,'Master Table'!$A22,'Master Table'!$B22)</f>
        <v/>
      </c>
      <c r="W22" t="str">
        <f>assignmentSQL('Master Table'!W22,'Master Table'!W$1,'Master Table'!$A22,'Master Table'!$B22)</f>
        <v>INSERT INTO Contact_ProductLine_Map (ContactId, ProductLineId, RegionId, IsSales, IsPM, IsUserAdvocate) VALUES ((SELECT ContactId FROM Contact WHERE Name = 'Jimmy Lau'), (SELECT ProductLineId FROM ProductLine WHERE Name = 'gINT'), (SELECT RegionID FROM Region WHERE Name = 'China'),0,0,1);</v>
      </c>
      <c r="X22" t="str">
        <f>assignmentSQL('Master Table'!X22,'Master Table'!X$1,'Master Table'!$A22,'Master Table'!$B22)</f>
        <v>INSERT INTO Contact_ProductLine_Map (ContactId, ProductLineId, RegionId, IsSales, IsPM, IsUserAdvocate) VALUES ((SELECT ContactId FROM Contact WHERE Name = 'Peng Shan'), (SELECT ProductLineId FROM ProductLine WHERE Name = 'AutoPLANT'), (SELECT RegionID FROM Region WHERE Name = 'China'),0,0,1);</v>
      </c>
      <c r="Y22" t="str">
        <f>assignmentSQL('Master Table'!Y22,'Master Table'!Y$1,'Master Table'!$A22,'Master Table'!$B22)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'China'),0,0,1);</v>
      </c>
      <c r="Z22" t="str">
        <f>assignmentSQL('Master Table'!Z22,'Master Table'!Z$1,'Master Table'!$A22,'Master Table'!$B22)</f>
        <v>INSERT INTO Contact_ProductLine_Map (ContactId, ProductLineId, RegionId, IsSales, IsPM, IsUserAdvocate) VALUES ((SELECT ContactId FROM Contact WHERE Name = 'Jia Wen'), (SELECT ProductLineId FROM ProductLine WHERE Name = 'OpenPlant'), (SELECT RegionID FROM Region WHERE Name = 'China'),0,0,1);</v>
      </c>
      <c r="AA22" t="str">
        <f>assignmentSQL('Master Table'!AA22,'Master Table'!AA$1,'Master Table'!$A22,'Master Table'!$B22)</f>
        <v>INSERT INTO Contact_ProductLine_Map (ContactId, ProductLineId, RegionId, IsSales, IsPM, IsUserAdvocate) VALUES ((SELECT ContactId FROM Contact WHERE Name = 'Jawwad Baig'), (SELECT ProductLineId FROM ProductLine WHERE Name = 'PlantSpace'), (SELECT RegionID FROM Region WHERE Name = 'China'),0,0,1);</v>
      </c>
      <c r="AB22" t="str">
        <f>assignmentSQL('Master Table'!AB22,'Master Table'!AB$1,'Master Table'!$A22,'Master Table'!$B22)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'China'),0,0,1);</v>
      </c>
      <c r="AC22" t="str">
        <f>assignmentSQL('Master Table'!AC22,'Master Table'!AC$1,'Master Table'!$A22,'Master Table'!$B22)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'China'),0,0,1);</v>
      </c>
      <c r="AD22" t="str">
        <f>assignmentSQL('Master Table'!AD22,'Master Table'!AD$1,'Master Table'!$A22,'Master Table'!$B22)</f>
        <v>INSERT INTO Contact_ProductLine_Map (ContactId, ProductLineId, RegionId, IsSales, IsPM, IsUserAdvocate) VALUES ((SELECT ContactId FROM Contact WHERE Name = 'Felix Zhou'), (SELECT ProductLineId FROM ProductLine WHERE Name = 'Pointools'), (SELECT RegionID FROM Region WHERE Name = 'China'),0,0,1);</v>
      </c>
      <c r="AE22" t="str">
        <f>assignmentSQL('Master Table'!AE22,'Master Table'!AE$1,'Master Table'!$A22,'Master Table'!$B22)</f>
        <v>INSERT INTO Contact_ProductLine_Map (ContactId, ProductLineId, RegionId, IsSales, IsPM, IsUserAdvocate) VALUES ((SELECT ContactId FROM Contact WHERE Name = 'Felix Zhou'), (SELECT ProductLineId FROM ProductLine WHERE Name = 'LumenRT'), (SELECT RegionID FROM Region WHERE Name = 'China'),0,0,1);</v>
      </c>
      <c r="AF22" t="str">
        <f>assignmentSQL('Master Table'!AF22,'Master Table'!AF$1,'Master Table'!$A22,'Master Table'!$B22)</f>
        <v>INSERT INTO Contact_ProductLine_Map (ContactId, ProductLineId, RegionId, IsSales, IsPM, IsUserAdvocate) VALUES ((SELECT ContactId FROM Contact WHERE Name = 'Felix Zhou'), (SELECT ProductLineId FROM ProductLine WHERE Name = 'ContextCapture'), (SELECT RegionID FROM Region WHERE Name = 'China'),0,0,1);</v>
      </c>
      <c r="AG22" t="str">
        <f>assignmentSQL('Master Table'!AG22,'Master Table'!AG$1,'Master Table'!$A22,'Master Table'!$B22)</f>
        <v>INSERT INTO Contact_ProductLine_Map (ContactId, ProductLineId, RegionId, IsSales, IsPM, IsUserAdvocate) VALUES ((SELECT ContactId FROM Contact WHERE Name = 'Felix Zhou'), (SELECT ProductLineId FROM ProductLine WHERE Name = 'Descartes'), (SELECT RegionID FROM Region WHERE Name = 'China'),0,0,1);</v>
      </c>
      <c r="AH22" t="str">
        <f>assignmentSQL('Master Table'!AH22,'Master Table'!AH$1,'Master Table'!$A22,'Master Table'!$B22)</f>
        <v>INSERT INTO Contact_ProductLine_Map (ContactId, ProductLineId, RegionId, IsSales, IsPM, IsUserAdvocate) VALUES ((SELECT ContactId FROM Contact WHERE Name = 'Electra Lin'), (SELECT ProductLineId FROM ProductLine WHERE Name = 'ProStructures'), (SELECT RegionID FROM Region WHERE Name = 'China'),0,0,1);INSERT INTO Contact_ProductLine_Map (ContactId, ProductLineId, RegionId, IsSales, IsPM, IsUserAdvocate) VALUES ((SELECT ContactId FROM Contact WHERE Name = 'Kaile Wang'), (SELECT ProductLineId FROM ProductLine WHERE Name = 'ProStructures'), (SELECT RegionID FROM Region WHERE Name = 'China'),0,0,1);</v>
      </c>
      <c r="AI22" t="str">
        <f>assignmentSQL('Master Table'!AI22,'Master Table'!AI$1,'Master Table'!$A22,'Master Table'!$B22)</f>
        <v>INSERT INTO Contact_ProductLine_Map (ContactId, ProductLineId, RegionId, IsSales, IsPM, IsUserAdvocate) VALUES ((SELECT ContactId FROM Contact WHERE Name = 'Zhiyuan Li'), (SELECT ProductLineId FROM ProductLine WHERE Name = 'promis*e'), (SELECT RegionID FROM Region WHERE Name = 'China'),0,0,1);</v>
      </c>
      <c r="AJ22" t="str">
        <f>assignmentSQL('Master Table'!AJ22,'Master Table'!AJ$1,'Master Table'!$A22,'Master Table'!$B22)</f>
        <v>INSERT INTO Contact_ProductLine_Map (ContactId, ProductLineId, RegionId, IsSales, IsPM, IsUserAdvocate) VALUES ((SELECT ContactId FROM Contact WHERE Name = 'Engteck Soon'), (SELECT ProductLineId FROM ProductLine WHERE Name = 'AssetWise'), (SELECT RegionID FROM Region WHERE Name = 'China'),0,0,1);</v>
      </c>
      <c r="AK22" t="str">
        <f>assignmentSQL('Master Table'!AK22,'Master Table'!AK$1,'Master Table'!$A22,'Master Table'!$B22)</f>
        <v>INSERT INTO Contact_ProductLine_Map (ContactId, ProductLineId, RegionId, IsSales, IsPM, IsUserAdvocate) VALUES ((SELECT ContactId FROM Contact WHERE Name = 'Engteck Soon'), (SELECT ProductLineId FROM ProductLine WHERE Name = 'AssetWise APM'), (SELECT RegionID FROM Region WHERE Name = 'China'),0,0,1);</v>
      </c>
      <c r="AL22" t="str">
        <f>assignmentSQL('Master Table'!AL22,'Master Table'!AL$1,'Master Table'!$A22,'Master Table'!$B22)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'China'),0,0,1);</v>
      </c>
      <c r="AM22" t="str">
        <f>assignmentSQL('Master Table'!AM22,'Master Table'!AM$1,'Master Table'!$A22,'Master Table'!$B22)</f>
        <v>INSERT INTO Contact_ProductLine_Map (ContactId, ProductLineId, RegionId, IsSales, IsPM, IsUserAdvocate) VALUES ((SELECT ContactId FROM Contact WHERE Name = 'Linda Oliveira'), (SELECT ProductLineId FROM ProductLine WHERE Name = 'Map'), (SELECT RegionID FROM Region WHERE Name = 'China'),0,0,1);</v>
      </c>
      <c r="AN22" t="str">
        <f>assignmentSQL('Master Table'!AN22,'Master Table'!AN$1,'Master Table'!$A22,'Master Table'!$B22)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'China'),0,0,1);</v>
      </c>
      <c r="AO22" t="str">
        <f>assignmentSQL('Master Table'!AO22,'Master Table'!AO$1,'Master Table'!$A22,'Master Table'!$B22)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'China'),0,0,1);</v>
      </c>
      <c r="AP22" t="str">
        <f>assignmentSQL('Master Table'!AP22,'Master Table'!AP$1,'Master Table'!$A22,'Master Table'!$B22)</f>
        <v>INSERT INTO Contact_ProductLine_Map (ContactId, ProductLineId, RegionId, IsSales, IsPM, IsUserAdvocate) VALUES ((SELECT ContactId FROM Contact WHERE Name = 'MSV Rao'), (SELECT ProductLineId FROM ProductLine WHERE Name = 'Haestad'), (SELECT RegionID FROM Region WHERE Name = 'China'),0,0,1);</v>
      </c>
      <c r="AQ22" t="str">
        <f>assignmentSQL('Master Table'!AQ22,'Master Table'!AQ$1,'Master Table'!$A22,'Master Table'!$B22)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'China'),0,0,1);</v>
      </c>
      <c r="AR22" t="str">
        <f>assignmentSQL('Master Table'!AR22,'Master Table'!AR$1,'Master Table'!$A22,'Master Table'!$B22)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'China'),0,0,1);</v>
      </c>
      <c r="AS22" t="str">
        <f>assignmentSQL('Master Table'!AS22,'Master Table'!AS$1,'Master Table'!$A22,'Master Table'!$B22)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'China'),0,0,1);</v>
      </c>
      <c r="AT22" t="str">
        <f>assignmentSQL('Master Table'!AT22,'Master Table'!AT$1,'Master Table'!$A22,'Master Table'!$B22)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'China'),0,0,1);</v>
      </c>
      <c r="AU22" t="str">
        <f>assignmentSQL('Master Table'!AU22,'Master Table'!AU$1,'Master Table'!$A22,'Master Table'!$B22)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'China'),0,0,1);</v>
      </c>
      <c r="AV22" t="str">
        <f>assignmentSQL('Master Table'!AV22,'Master Table'!AV$1,'Master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Design Integration'), (SELECT RegionID FROM Region WHERE Name = 'China'),0,0,1);</v>
      </c>
      <c r="AW22" t="str">
        <f>assignmentSQL('Master Table'!AW22,'Master Table'!AW$1,'Master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Issues Resolution'), (SELECT RegionID FROM Region WHERE Name = 'China'),0,0,1);</v>
      </c>
      <c r="AX22" t="str">
        <f>assignmentSQL('Master Table'!AX22,'Master Table'!AX$1,'Master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Explorer Civil 3D Integration Module'), (SELECT RegionID FROM Region WHERE Name = 'China'),0,0,1);</v>
      </c>
      <c r="AY22" t="str">
        <f>assignmentSQL('Master Table'!AY22,'Master Table'!AY$1,'Master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Explorer Revit Integration Module'), (SELECT RegionID FROM Region WHERE Name = 'China'),0,0,1);</v>
      </c>
      <c r="AZ22" t="str">
        <f>assignmentSQL('Master Table'!AZ22,'Master Table'!AZ$1,'Master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Explorer Office Integration Module'), (SELECT RegionID FROM Region WHERE Name = 'China'),0,0,1);</v>
      </c>
      <c r="BA22" t="str">
        <f>assignmentSQL('Master Table'!BA22,'Master Table'!BA$1,'Master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Edge Mobile'), (SELECT RegionID FROM Region WHERE Name = 'China'),0,0,1);</v>
      </c>
      <c r="BB22" t="str">
        <f>assignmentSQL('Master Table'!BB22,'Master Table'!BB$1,'Master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WorkSite'), (SELECT RegionID FROM Region WHERE Name = 'China'),0,0,1);</v>
      </c>
      <c r="BC22" t="str">
        <f>assignmentSQL('Master Table'!BC22,'Master Table'!BC$1,'Master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Edge'), (SELECT RegionID FROM Region WHERE Name = 'China'),0,0,1);</v>
      </c>
      <c r="BD22" t="str">
        <f>assignmentSQL('Master Table'!BD22,'Master Table'!BD$1,'Master Table'!$A22,'Master Table'!$B22)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'China'),0,0,1);</v>
      </c>
      <c r="BE22" t="str">
        <f>assignmentSQL('Master Table'!BE22,'Master Table'!BE$1,'Master Table'!$A22,'Master Table'!$B22)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'China'),0,0,1);</v>
      </c>
      <c r="BF22" t="str">
        <f>assignmentSQL('Master Table'!BF22,'Master Table'!BF$1,'Master Table'!$A22,'Master Table'!$B22)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'China'),0,0,1);</v>
      </c>
      <c r="BG22" t="str">
        <f>assignmentSQL('Master Table'!BG22,'Master Table'!BG$1,'Master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'Deliverables Management'), (SELECT RegionID FROM Region WHERE Name = 'China'),0,0,1);</v>
      </c>
      <c r="BH22" t="str">
        <f>assignmentSQL('Master Table'!BH22,'Master Table'!BH$1,'Master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'Bentley Automation Service CONNECT Edition'), (SELECT RegionID FROM Region WHERE Name = 'China'),0,0,1);</v>
      </c>
      <c r="BI22" t="str">
        <f>assignmentSQL('Master Table'!BI22,'Master Table'!BI$1,'Master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"Field Data Management'), (SELECT RegionID FROM Region WHERE Name = 'China'),0,0,1);</v>
      </c>
      <c r="BJ22" t="str">
        <f>assignmentSQL('Master Table'!BJ22,'Master Table'!BJ$1,'Master Table'!$A22,'Master Table'!$B22)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'China'),0,0,1);</v>
      </c>
      <c r="BK22" t="str">
        <f>assignmentSQL('Master Table'!BK22,'Master Table'!BK$1,'Master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InterPlot Server and Interplot Organizer'), (SELECT RegionID FROM Region WHERE Name = 'China'),0,0,1);</v>
      </c>
      <c r="BL22" t="str">
        <f>assignmentSQL('Master Table'!BL22,'Master Table'!BL$1,'Master Table'!$A22,'Master Table'!$B22)</f>
        <v>INSERT INTO Contact_ProductLine_Map (ContactId, ProductLineId, RegionId, IsSales, IsPM, IsUserAdvocate) VALUES ((SELECT ContactId FROM Contact WHERE Name = 'Lijun Ma'), (SELECT ProductLineId FROM ProductLine WHERE Name = 'ProjectWise i-model Composition Server for i-models'), (SELECT RegionID FROM Region WHERE Name = 'China'),0,0,1);</v>
      </c>
    </row>
    <row r="23" spans="3:64" x14ac:dyDescent="0.25">
      <c r="C23" t="str">
        <f>assignmentSQL('Master Table'!C23,'Master Table'!C$1,'Master Table'!$A23,'Master Table'!$B23)</f>
        <v>INSERT INTO Contact_ProductLine_Map (ContactId, ProductLineId, RegionId, IsSales, IsPM, IsUserAdvocate) VALUES ((SELECT ContactId FROM Contact WHERE Name = 'Clark McDonald'), (SELECT ProductLineId FROM ProductLine WHERE Name = 'STAAD'), (SELECT RegionID FROM Region WHERE Name = 'Korea'),1,0,0);</v>
      </c>
      <c r="D23" t="str">
        <f>assignmentSQL('Master Table'!D23,'Master Table'!D$1,'Master Table'!$A23,'Master Table'!$B23)</f>
        <v>INSERT INTO Contact_ProductLine_Map (ContactId, ProductLineId, RegionId, IsSales, IsPM, IsUserAdvocate) VALUES ((SELECT ContactId FROM Contact WHERE Name = 'Clark McDonald'), (SELECT ProductLineId FROM ProductLine WHERE Name = 'RAM'), (SELECT RegionID FROM Region WHERE Name = 'Korea'),1,0,0);</v>
      </c>
      <c r="E23" t="str">
        <f>assignmentSQL('Master Table'!E23,'Master Table'!E$1,'Master Table'!$A23,'Master Table'!$B23)</f>
        <v>INSERT INTO Contact_ProductLine_Map (ContactId, ProductLineId, RegionId, IsSales, IsPM, IsUserAdvocate) VALUES ((SELECT ContactId FROM Contact WHERE Name = 'Clark McDonald'), (SELECT ProductLineId FROM ProductLine WHERE Name = 'AUTOPIPE'), (SELECT RegionID FROM Region WHERE Name = 'Korea'),1,0,0);</v>
      </c>
      <c r="F23" t="str">
        <f>assignmentSQL('Master Table'!F23,'Master Table'!F$1,'Master Table'!$A23,'Master Table'!$B23)</f>
        <v>INSERT INTO Contact_ProductLine_Map (ContactId, ProductLineId, RegionId, IsSales, IsPM, IsUserAdvocate) VALUES ((SELECT ContactId FROM Contact WHERE Name = 'Clark McDonald'), (SELECT ProductLineId FROM ProductLine WHERE Name = 'SACS'), (SELECT RegionID FROM Region WHERE Name = 'Korea'),1,0,0);</v>
      </c>
      <c r="G23" t="str">
        <f>assignmentSQL('Master Table'!G23,'Master Table'!G$1,'Master Table'!$A23,'Master Table'!$B23)</f>
        <v>INSERT INTO Contact_ProductLine_Map (ContactId, ProductLineId, RegionId, IsSales, IsPM, IsUserAdvocate) VALUES ((SELECT ContactId FROM Contact WHERE Name = 'Clark McDonald'), (SELECT ProductLineId FROM ProductLine WHERE Name = 'MAXSURF'), (SELECT RegionID FROM Region WHERE Name = 'Korea'),1,0,0);</v>
      </c>
      <c r="H23" t="str">
        <f>assignmentSQL('Master Table'!H23,'Master Table'!H$1,'Master Table'!$A23,'Master Table'!$B23)</f>
        <v>INSERT INTO Contact_ProductLine_Map (ContactId, ProductLineId, RegionId, IsSales, IsPM, IsUserAdvocate) VALUES ((SELECT ContactId FROM Contact WHERE Name = 'Clark McDonald'), (SELECT ProductLineId FROM ProductLine WHERE Name = 'MOSES'), (SELECT RegionID FROM Region WHERE Name = 'Korea'),1,0,0);</v>
      </c>
      <c r="I23" t="str">
        <f>assignmentSQL('Master Table'!I23,'Master Table'!I$1,'Master Table'!$A23,'Master Table'!$B23)</f>
        <v/>
      </c>
      <c r="J23" t="str">
        <f>assignmentSQL('Master Table'!J23,'Master Table'!J$1,'Master Table'!$A23,'Master Table'!$B23)</f>
        <v/>
      </c>
      <c r="K23" t="str">
        <f>assignmentSQL('Master Table'!K23,'Master Table'!K$1,'Master Table'!$A23,'Master Table'!$B23)</f>
        <v/>
      </c>
      <c r="L23" t="str">
        <f>assignmentSQL('Master Table'!L23,'Master Table'!L$1,'Master Table'!$A23,'Master Table'!$B23)</f>
        <v/>
      </c>
      <c r="M23" t="str">
        <f>assignmentSQL('Master Table'!M23,'Master Table'!M$1,'Master Table'!$A23,'Master Table'!$B23)</f>
        <v>INSERT INTO Contact_ProductLine_Map (ContactId, ProductLineId, RegionId, IsSales, IsPM, IsUserAdvocate) VALUES ((SELECT ContactId FROM Contact WHERE Name = 'Clark McDonald'), (SELECT ProductLineId FROM ProductLine WHERE Name = 'SITEOPS'), (SELECT RegionID FROM Region WHERE Name = 'Korea'),1,0,0);</v>
      </c>
      <c r="N23" t="str">
        <f>assignmentSQL('Master Table'!N23,'Master Table'!N$1,'Master Table'!$A23,'Master Table'!$B23)</f>
        <v>INSERT INTO Contact_ProductLine_Map (ContactId, ProductLineId, RegionId, IsSales, IsPM, IsUserAdvocate) VALUES ((SELECT ContactId FROM Contact WHERE Name = 'Pradip Maity'), (SELECT ProductLineId FROM ProductLine WHERE Name = 'AECOsim Building Designer'), (SELECT RegionID FROM Region WHERE Name = 'Korea'),1,0,0);</v>
      </c>
      <c r="O23" t="str">
        <f>assignmentSQL('Master Table'!O23,'Master Table'!O$1,'Master Table'!$A23,'Master Table'!$B23)</f>
        <v>INSERT INTO Contact_ProductLine_Map (ContactId, ProductLineId, RegionId, IsSales, IsPM, IsUserAdvocate) VALUES ((SELECT ContactId FROM Contact WHERE Name = 'Pradip Maity'), (SELECT ProductLineId FROM ProductLine WHERE Name = 'speedikon'), (SELECT RegionID FROM Region WHERE Name = 'Korea'),1,0,0);</v>
      </c>
      <c r="P23" t="str">
        <f>assignmentSQL('Master Table'!P23,'Master Table'!P$1,'Master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'Hevacomp'), (SELECT RegionID FROM Region WHERE Name = 'Korea'),1,0,0);</v>
      </c>
      <c r="Q23" t="str">
        <f>assignmentSQL('Master Table'!Q23,'Master Table'!Q$1,'Master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'GEOPAK'), (SELECT RegionID FROM Region WHERE Name = 'Korea'),1,0,0);</v>
      </c>
      <c r="R23" t="str">
        <f>assignmentSQL('Master Table'!R23,'Master Table'!R$1,'Master Table'!$A23,'Master Table'!$B23)</f>
        <v>INSERT INTO Contact_ProductLine_Map (ContactId, ProductLineId, RegionId, IsSales, IsPM, IsUserAdvocate) VALUES ((SELECT ContactId FROM Contact WHERE Name = 'Raj Dodda'), (SELECT ProductLineId FROM ProductLine WHERE Name = 'InRoads'), (SELECT RegionID FROM Region WHERE Name = 'Korea'),1,0,0);</v>
      </c>
      <c r="S23" t="str">
        <f>assignmentSQL('Master Table'!S23,'Master Table'!S$1,'Master Table'!$A23,'Master Table'!$B23)</f>
        <v>INSERT INTO Contact_ProductLine_Map (ContactId, ProductLineId, RegionId, IsSales, IsPM, IsUserAdvocate) VALUES ((SELECT ContactId FROM Contact WHERE Name = 'Raj Dodda'), (SELECT ProductLineId FROM ProductLine WHERE Name = 'MX'), (SELECT RegionID FROM Region WHERE Name = 'Korea'),1,0,0);</v>
      </c>
      <c r="T23" t="str">
        <f>assignmentSQL('Master Table'!T23,'Master Table'!T$1,'Master Table'!$A23,'Master Table'!$B23)</f>
        <v>INSERT INTO Contact_ProductLine_Map (ContactId, ProductLineId, RegionId, IsSales, IsPM, IsUserAdvocate) VALUES ((SELECT ContactId FROM Contact WHERE Name = 'Raj Dodda'), (SELECT ProductLineId FROM ProductLine WHERE Name = 'OpenRail'), (SELECT RegionID FROM Region WHERE Name = 'Korea'),1,0,0);</v>
      </c>
      <c r="U23" t="str">
        <f>assignmentSQL('Master Table'!U23,'Master Table'!U$1,'Master Table'!$A23,'Master Table'!$B23)</f>
        <v>INSERT INTO Contact_ProductLine_Map (ContactId, ProductLineId, RegionId, IsSales, IsPM, IsUserAdvocate) VALUES ((SELECT ContactId FROM Contact WHERE Name = 'Raj Dodda'), (SELECT ProductLineId FROM ProductLine WHERE Name = 'OpenRoads'), (SELECT RegionID FROM Region WHERE Name = 'Korea'),1,0,0);</v>
      </c>
      <c r="V23" t="str">
        <f>assignmentSQL('Master Table'!V23,'Master Table'!V$1,'Master Table'!$A23,'Master Table'!$B23)</f>
        <v>INSERT INTO Contact_ProductLine_Map (ContactId, ProductLineId, RegionId, IsSales, IsPM, IsUserAdvocate) VALUES ((SELECT ContactId FROM Contact WHERE Name = 'Raj Dodda'), (SELECT ProductLineId FROM ProductLine WHERE Name = 'ConceptStation'), (SELECT RegionID FROM Region WHERE Name = 'Korea'),1,0,0);</v>
      </c>
      <c r="W23" t="str">
        <f>assignmentSQL('Master Table'!W23,'Master Table'!W$1,'Master Table'!$A23,'Master Table'!$B23)</f>
        <v>INSERT INTO Contact_ProductLine_Map (ContactId, ProductLineId, RegionId, IsSales, IsPM, IsUserAdvocate) VALUES ((SELECT ContactId FROM Contact WHERE Name = 'Raj Dodda'), (SELECT ProductLineId FROM ProductLine WHERE Name = 'gINT'), (SELECT RegionID FROM Region WHERE Name = 'Korea'),1,0,0);</v>
      </c>
      <c r="X23" t="str">
        <f>assignmentSQL('Master Table'!X23,'Master Table'!X$1,'Master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'AutoPLANT'), (SELECT RegionID FROM Region WHERE Name = 'Korea'),1,0,0);</v>
      </c>
      <c r="Y23" t="str">
        <f>assignmentSQL('Master Table'!Y23,'Master Table'!Y$1,'Master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'AXSYS'), (SELECT RegionID FROM Region WHERE Name = 'Korea'),1,0,0);</v>
      </c>
      <c r="Z23" t="str">
        <f>assignmentSQL('Master Table'!Z23,'Master Table'!Z$1,'Master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'OpenPlant'), (SELECT RegionID FROM Region WHERE Name = 'Korea'),1,0,0);</v>
      </c>
      <c r="AA23" t="str">
        <f>assignmentSQL('Master Table'!AA23,'Master Table'!AA$1,'Master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'PlantSpace'), (SELECT RegionID FROM Region WHERE Name = 'Korea'),1,0,0);</v>
      </c>
      <c r="AB23" t="str">
        <f>assignmentSQL('Master Table'!AB23,'Master Table'!AB$1,'Master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'MineCycle'), (SELECT RegionID FROM Region WHERE Name = 'Korea'),1,0,0);</v>
      </c>
      <c r="AC23" t="str">
        <f>assignmentSQL('Master Table'!AC23,'Master Table'!AC$1,'Master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'Plantwise'), (SELECT RegionID FROM Region WHERE Name = 'Korea'),1,0,0);</v>
      </c>
      <c r="AD23" t="str">
        <f>assignmentSQL('Master Table'!AD23,'Master Table'!AD$1,'Master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'Pointools'), (SELECT RegionID FROM Region WHERE Name = 'Korea'),1,0,0);</v>
      </c>
      <c r="AE23" t="str">
        <f>assignmentSQL('Master Table'!AE23,'Master Table'!AE$1,'Master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'LumenRT'), (SELECT RegionID FROM Region WHERE Name = 'Korea'),1,0,0);</v>
      </c>
      <c r="AF23" t="str">
        <f>assignmentSQL('Master Table'!AF23,'Master Table'!AF$1,'Master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'ContextCapture'), (SELECT RegionID FROM Region WHERE Name = 'Korea'),1,0,0);</v>
      </c>
      <c r="AG23" t="str">
        <f>assignmentSQL('Master Table'!AG23,'Master Table'!AG$1,'Master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'Descartes'), (SELECT RegionID FROM Region WHERE Name = 'Korea'),1,0,0);</v>
      </c>
      <c r="AH23" t="str">
        <f>assignmentSQL('Master Table'!AH23,'Master Table'!AH$1,'Master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'ProStructures'), (SELECT RegionID FROM Region WHERE Name = 'Korea'),1,0,0);</v>
      </c>
      <c r="AI23" t="str">
        <f>assignmentSQL('Master Table'!AI23,'Master Table'!AI$1,'Master Table'!$A23,'Master Table'!$B23)</f>
        <v>INSERT INTO Contact_ProductLine_Map (ContactId, ProductLineId, RegionId, IsSales, IsPM, IsUserAdvocate) VALUES ((SELECT ContactId FROM Contact WHERE Name = 'Sai Selvakumar'), (SELECT ProductLineId FROM ProductLine WHERE Name = 'promis*e'), (SELECT RegionID FROM Region WHERE Name = 'Korea'),1,0,0);</v>
      </c>
      <c r="AJ23" t="str">
        <f>assignmentSQL('Master Table'!AJ23,'Master Table'!AJ$1,'Master Table'!$A23,'Master Table'!$B23)</f>
        <v>INSERT INTO Contact_ProductLine_Map (ContactId, ProductLineId, RegionId, IsSales, IsPM, IsUserAdvocate) VALUES ((SELECT ContactId FROM Contact WHERE Name = 'George Castle'), (SELECT ProductLineId FROM ProductLine WHERE Name = 'AssetWise'), (SELECT RegionID FROM Region WHERE Name = 'Korea'),1,0,0);</v>
      </c>
      <c r="AK23" t="str">
        <f>assignmentSQL('Master Table'!AK23,'Master Table'!AK$1,'Master Table'!$A23,'Master Table'!$B23)</f>
        <v>INSERT INTO Contact_ProductLine_Map (ContactId, ProductLineId, RegionId, IsSales, IsPM, IsUserAdvocate) VALUES ((SELECT ContactId FROM Contact WHERE Name = 'David Smith'), (SELECT ProductLineId FROM ProductLine WHERE Name = 'AssetWise APM'), (SELECT RegionID FROM Region WHERE Name = 'Korea'),1,0,0);</v>
      </c>
      <c r="AL23" t="str">
        <f>assignmentSQL('Master Table'!AL23,'Master Table'!AL$1,'Master Table'!$A23,'Master Table'!$B23)</f>
        <v>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'Korea'),1,0,0);INSERT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'Korea'),1,0,0);INSERT INTO Contact_ProductLine_Map (ContactId, ProductLineId, RegionId, IsSales, IsPM, IsUserAdvocate) VALUES ((SELECT ContactId FROM Contact WHERE Name = 'Jim Lucas'), (SELECT ProductLineId FROM ProductLine WHERE Name = 'OpenUtilities'), (SELECT RegionID FROM Region WHERE Name = 'Korea'),1,0,0);</v>
      </c>
      <c r="AM23" t="str">
        <f>assignmentSQL('Master Table'!AM23,'Master Table'!AM$1,'Master Table'!$A23,'Master Table'!$B23)</f>
        <v>INSERT INTO Contact_ProductLine_Map (ContactId, ProductLineId, RegionId, IsSales, IsPM, IsUserAdvocate) VALUES ((SELECT ContactId FROM Contact WHERE Name = 'Gaurav Malik'), (SELECT ProductLineId FROM ProductLine WHERE Name = 'Map'), (SELECT RegionID FROM Region WHERE Name = 'Korea'),1,0,0);INSERT INTO Contact_ProductLine_Map (ContactId, ProductLineId, RegionId, IsSales, IsPM, IsUserAdvocate) VALUES ((SELECT ContactId FROM Contact WHERE Name = 'Suneet Manjavkar'), (SELECT ProductLineId FROM ProductLine WHERE Name = 'Map'), (SELECT RegionID FROM Region WHERE Name = 'Korea'),1,0,0);</v>
      </c>
      <c r="AN23" t="str">
        <f>assignmentSQL('Master Table'!AN23,'Master Table'!AN$1,'Master Table'!$A23,'Master Table'!$B23)</f>
        <v>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'Korea'),1,0,0);INSERT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'Korea'),1,0,0);INSERT INTO Contact_ProductLine_Map (ContactId, ProductLineId, RegionId, IsSales, IsPM, IsUserAdvocate) VALUES ((SELECT ContactId FROM Contact WHERE Name = 'Jim Lucas'), (SELECT ProductLineId FROM ProductLine WHERE Name = 'OpenComms'), (SELECT RegionID FROM Region WHERE Name = 'Korea'),1,0,0);</v>
      </c>
      <c r="AO23" t="str">
        <f>assignmentSQL('Master Table'!AO23,'Master Table'!AO$1,'Master Table'!$A23,'Master Table'!$B23)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'Korea'),1,0,0);INSERT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'Korea'),1,0,0);</v>
      </c>
      <c r="AP23" t="str">
        <f>assignmentSQL('Master Table'!AP23,'Master Table'!AP$1,'Master Table'!$A23,'Master Table'!$B23)</f>
        <v>INSERT INTO Contact_ProductLine_Map (ContactId, ProductLineId, RegionId, IsSales, IsPM, IsUserAdvocate) VALUES ((SELECT ContactId FROM Contact WHERE Name = 'Vincent Ng'), (SELECT ProductLineId FROM ProductLine WHERE Name = 'Haestad'), (SELECT RegionID FROM Region WHERE Name = 'Korea'),1,0,0);</v>
      </c>
      <c r="AQ23" t="str">
        <f>assignmentSQL('Master Table'!AQ23,'Master Table'!AQ$1,'Master Table'!$A23,'Master Table'!$B23)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'Korea'),1,0,0);INSERT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'Korea'),1,0,0);</v>
      </c>
      <c r="AR23" t="str">
        <f>assignmentSQL('Master Table'!AR23,'Master Table'!AR$1,'Master Table'!$A23,'Master Table'!$B23)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'Korea'),1,0,0);</v>
      </c>
      <c r="AS23" t="str">
        <f>assignmentSQL('Master Table'!AS23,'Master Table'!AS$1,'Master Table'!$A23,'Master Table'!$B23)</f>
        <v>INSERT INTO Contact_ProductLine_Map (ContactId, ProductLineId, RegionId, IsSales, IsPM, IsUserAdvocate) VALUES ((SELECT ContactId FROM Contact WHERE Name = 'David Smith'), (SELECT ProductLineId FROM ProductLine WHERE Name = 'Amulet'), (SELECT RegionID FROM Region WHERE Name = 'Korea'),1,0,0);</v>
      </c>
      <c r="AT23" t="str">
        <f>assignmentSQL('Master Table'!AT23,'Master Table'!AT$1,'Master Table'!$A23,'Master Table'!$B23)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'Korea'),1,0,0);</v>
      </c>
      <c r="AU23" t="str">
        <f>assignmentSQL('Master Table'!AU23,'Master Table'!AU$1,'Master Table'!$A23,'Master Table'!$B23)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'Korea'),1,0,0);</v>
      </c>
      <c r="AV23" t="str">
        <f>assignmentSQL('Master Table'!AV23,'Master Table'!AV$1,'Master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Design Integration'), (SELECT RegionID FROM Region WHERE Name = 'Korea'),1,0,0);</v>
      </c>
      <c r="AW23" t="str">
        <f>assignmentSQL('Master Table'!AW23,'Master Table'!AW$1,'Master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Issues Resolution'), (SELECT RegionID FROM Region WHERE Name = 'Korea'),1,0,0);</v>
      </c>
      <c r="AX23" t="str">
        <f>assignmentSQL('Master Table'!AX23,'Master Table'!AX$1,'Master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Explorer Civil 3D Integration Module'), (SELECT RegionID FROM Region WHERE Name = 'Korea'),1,0,0);</v>
      </c>
      <c r="AY23" t="str">
        <f>assignmentSQL('Master Table'!AY23,'Master Table'!AY$1,'Master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Explorer Revit Integration Module'), (SELECT RegionID FROM Region WHERE Name = 'Korea'),1,0,0);</v>
      </c>
      <c r="AZ23" t="str">
        <f>assignmentSQL('Master Table'!AZ23,'Master Table'!AZ$1,'Master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Explorer Office Integration Module'), (SELECT RegionID FROM Region WHERE Name = 'Korea'),1,0,0);</v>
      </c>
      <c r="BA23" t="str">
        <f>assignmentSQL('Master Table'!BA23,'Master Table'!BA$1,'Master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Edge Mobile'), (SELECT RegionID FROM Region WHERE Name = 'Korea'),1,0,0);</v>
      </c>
      <c r="BB23" t="str">
        <f>assignmentSQL('Master Table'!BB23,'Master Table'!BB$1,'Master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WorkSite'), (SELECT RegionID FROM Region WHERE Name = 'Korea'),1,0,0);</v>
      </c>
      <c r="BC23" t="str">
        <f>assignmentSQL('Master Table'!BC23,'Master Table'!BC$1,'Master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Edge'), (SELECT RegionID FROM Region WHERE Name = 'Korea'),1,0,0);</v>
      </c>
      <c r="BD23" t="str">
        <f>assignmentSQL('Master Table'!BD23,'Master Table'!BD$1,'Master Table'!$A23,'Master Table'!$B23)</f>
        <v>INSERT INTO Contact_ProductLine_Map (ContactId, ProductLineId, RegionId, IsSales, IsPM, IsUserAdvocate) VALUES ((SELECT ContactId FROM Contact WHERE Name = 'Steven Chau'), (SELECT ProductLineId FROM ProductLine WHERE Name = 'Navigator CE'), (SELECT RegionID FROM Region WHERE Name = 'Korea'),1,0,0);</v>
      </c>
      <c r="BE23" t="str">
        <f>assignmentSQL('Master Table'!BE23,'Master Table'!BE$1,'Master Table'!$A23,'Master Table'!$B23)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'Korea'),1,0,0);</v>
      </c>
      <c r="BF23" t="str">
        <f>assignmentSQL('Master Table'!BF23,'Master Table'!BF$1,'Master Table'!$A23,'Master Table'!$B23)</f>
        <v>INSERT INTO Contact_ProductLine_Map (ContactId, ProductLineId, RegionId, IsSales, IsPM, IsUserAdvocate) VALUES ((SELECT ContactId FROM Contact WHERE Name = 'Eric Law'), (SELECT ProductLineId FROM ProductLine WHERE Name = 'EADOC UI Upgrade'), (SELECT RegionID FROM Region WHERE Name = 'Korea'),1,0,0);</v>
      </c>
      <c r="BG23" t="str">
        <f>assignmentSQL('Master Table'!BG23,'Master Table'!BG$1,'Master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'Deliverables Management'), (SELECT RegionID FROM Region WHERE Name = 'Korea'),1,0,0);</v>
      </c>
      <c r="BH23" t="str">
        <f>assignmentSQL('Master Table'!BH23,'Master Table'!BH$1,'Master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'Bentley Automation Service CONNECT Edition'), (SELECT RegionID FROM Region WHERE Name = 'Korea'),1,0,0);</v>
      </c>
      <c r="BI23" t="str">
        <f>assignmentSQL('Master Table'!BI23,'Master Table'!BI$1,'Master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"Field Data Management'), (SELECT RegionID FROM Region WHERE Name = 'Korea'),1,0,0);</v>
      </c>
      <c r="BJ23" t="str">
        <f>assignmentSQL('Master Table'!BJ23,'Master Table'!BJ$1,'Master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PDF'), (SELECT RegionID FROM Region WHERE Name = 'Korea'),1,0,0);</v>
      </c>
      <c r="BK23" t="str">
        <f>assignmentSQL('Master Table'!BK23,'Master Table'!BK$1,'Master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InterPlot Server and Interplot Organizer'), (SELECT RegionID FROM Region WHERE Name = 'Korea'),1,0,0);</v>
      </c>
      <c r="BL23" t="str">
        <f>assignmentSQL('Master Table'!BL23,'Master Table'!BL$1,'Master Table'!$A23,'Master Table'!$B23)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i-models'), (SELECT RegionID FROM Region WHERE Name = 'Korea'),1,0,0);</v>
      </c>
    </row>
    <row r="24" spans="3:64" x14ac:dyDescent="0.25">
      <c r="C24" t="str">
        <f>assignmentSQL('Master Table'!C24,'Master Table'!C$1,'Master Table'!$A24,'Master Table'!$B24)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'Korea'),0,1,0);</v>
      </c>
      <c r="D24" t="str">
        <f>assignmentSQL('Master Table'!D24,'Master Table'!D$1,'Master Table'!$A24,'Master Table'!$B24)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'Korea'),0,1,0);</v>
      </c>
      <c r="E24" t="str">
        <f>assignmentSQL('Master Table'!E24,'Master Table'!E$1,'Master Table'!$A24,'Master Table'!$B24)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'Korea'),0,1,0);INSERT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'Korea'),0,1,0);</v>
      </c>
      <c r="F24" t="str">
        <f>assignmentSQL('Master Table'!F24,'Master Table'!F$1,'Master Table'!$A24,'Master Table'!$B24)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'Korea'),0,1,0);</v>
      </c>
      <c r="G24" t="str">
        <f>assignmentSQL('Master Table'!G24,'Master Table'!G$1,'Master Table'!$A24,'Master Table'!$B24)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'Korea'),0,1,0);</v>
      </c>
      <c r="H24" t="str">
        <f>assignmentSQL('Master Table'!H24,'Master Table'!H$1,'Master Table'!$A24,'Master Table'!$B24)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'Korea'),0,1,0);</v>
      </c>
      <c r="I24" t="str">
        <f>assignmentSQL('Master Table'!I24,'Master Table'!I$1,'Master Table'!$A24,'Master Table'!$B24)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'Korea'),0,1,0);</v>
      </c>
      <c r="J24" t="str">
        <f>assignmentSQL('Master Table'!J24,'Master Table'!J$1,'Master Table'!$A24,'Master Table'!$B24)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'Korea'),0,1,0);</v>
      </c>
      <c r="K24" t="str">
        <f>assignmentSQL('Master Table'!K24,'Master Table'!K$1,'Master Table'!$A24,'Master Table'!$B24)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'Korea'),0,1,0);</v>
      </c>
      <c r="L24" t="str">
        <f>assignmentSQL('Master Table'!L24,'Master Table'!L$1,'Master Table'!$A24,'Master Table'!$B24)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'Korea'),0,1,0);</v>
      </c>
      <c r="M24" t="str">
        <f>assignmentSQL('Master Table'!M24,'Master Table'!M$1,'Master Table'!$A24,'Master Table'!$B24)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'Korea'),0,1,0);</v>
      </c>
      <c r="N24" t="str">
        <f>assignmentSQL('Master Table'!N24,'Master Table'!N$1,'Master Table'!$A24,'Master Table'!$B24)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'Korea'),0,1,0);</v>
      </c>
      <c r="O24" t="str">
        <f>assignmentSQL('Master Table'!O24,'Master Table'!O$1,'Master Table'!$A24,'Master Table'!$B24)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'Korea'),0,1,0);</v>
      </c>
      <c r="P24" t="str">
        <f>assignmentSQL('Master Table'!P24,'Master Table'!P$1,'Master Table'!$A24,'Master Table'!$B24)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'Korea'),0,1,0);</v>
      </c>
      <c r="Q24" t="str">
        <f>assignmentSQL('Master Table'!Q24,'Master Table'!Q$1,'Master Table'!$A24,'Master Table'!$B24)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'Korea'),0,1,0);</v>
      </c>
      <c r="R24" t="str">
        <f>assignmentSQL('Master Table'!R24,'Master Table'!R$1,'Master Table'!$A24,'Master Table'!$B24)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'Korea'),0,1,0);</v>
      </c>
      <c r="S24" t="str">
        <f>assignmentSQL('Master Table'!S24,'Master Table'!S$1,'Master Table'!$A24,'Master Table'!$B24)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'Korea'),0,1,0);</v>
      </c>
      <c r="T24" t="str">
        <f>assignmentSQL('Master Table'!T24,'Master Table'!T$1,'Master Table'!$A24,'Master Table'!$B24)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'Korea'),0,1,0);</v>
      </c>
      <c r="U24" t="str">
        <f>assignmentSQL('Master Table'!U24,'Master Table'!U$1,'Master Table'!$A24,'Master Table'!$B24)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'Korea'),0,1,0);</v>
      </c>
      <c r="V24" t="str">
        <f>assignmentSQL('Master Table'!V24,'Master Table'!V$1,'Master Table'!$A24,'Master Table'!$B24)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'Korea'),0,1,0);</v>
      </c>
      <c r="W24" t="str">
        <f>assignmentSQL('Master Table'!W24,'Master Table'!W$1,'Master Table'!$A24,'Master Table'!$B24)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'Korea'),0,1,0);</v>
      </c>
      <c r="X24" t="str">
        <f>assignmentSQL('Master Table'!X24,'Master Table'!X$1,'Master Table'!$A24,'Master Table'!$B24)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'Korea'),0,1,0);</v>
      </c>
      <c r="Y24" t="str">
        <f>assignmentSQL('Master Table'!Y24,'Master Table'!Y$1,'Master Table'!$A24,'Master Table'!$B24)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'Korea'),0,1,0);</v>
      </c>
      <c r="Z24" t="str">
        <f>assignmentSQL('Master Table'!Z24,'Master Table'!Z$1,'Master Table'!$A24,'Master Table'!$B24)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'Korea'),0,1,0);</v>
      </c>
      <c r="AA24" t="str">
        <f>assignmentSQL('Master Table'!AA24,'Master Table'!AA$1,'Master Table'!$A24,'Master Table'!$B24)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'Korea'),0,1,0);</v>
      </c>
      <c r="AB24" t="str">
        <f>assignmentSQL('Master Table'!AB24,'Master Table'!AB$1,'Master Table'!$A24,'Master Table'!$B24)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'Korea'),0,1,0);</v>
      </c>
      <c r="AC24" t="str">
        <f>assignmentSQL('Master Table'!AC24,'Master Table'!AC$1,'Master Table'!$A24,'Master Table'!$B24)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'Korea'),0,1,0);</v>
      </c>
      <c r="AD24" t="str">
        <f>assignmentSQL('Master Table'!AD24,'Master Table'!AD$1,'Master Table'!$A24,'Master Table'!$B24)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'Korea'),0,1,0);</v>
      </c>
      <c r="AE24" t="str">
        <f>assignmentSQL('Master Table'!AE24,'Master Table'!AE$1,'Master Table'!$A24,'Master Table'!$B24)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'Korea'),0,1,0);</v>
      </c>
      <c r="AF24" t="str">
        <f>assignmentSQL('Master Table'!AF24,'Master Table'!AF$1,'Master Table'!$A24,'Master Table'!$B24)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'Korea'),0,1,0);</v>
      </c>
      <c r="AG24" t="str">
        <f>assignmentSQL('Master Table'!AG24,'Master Table'!AG$1,'Master Table'!$A24,'Master Table'!$B24)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'Korea'),0,1,0);</v>
      </c>
      <c r="AH24" t="str">
        <f>assignmentSQL('Master Table'!AH24,'Master Table'!AH$1,'Master Table'!$A24,'Master Table'!$B24)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'Korea'),0,1,0);</v>
      </c>
      <c r="AI24" t="str">
        <f>assignmentSQL('Master Table'!AI24,'Master Table'!AI$1,'Master Table'!$A24,'Master Table'!$B24)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'Korea'),0,1,0);</v>
      </c>
      <c r="AJ24" t="str">
        <f>assignmentSQL('Master Table'!AJ24,'Master Table'!AJ$1,'Master Table'!$A24,'Master Table'!$B24)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'Korea'),0,1,0);</v>
      </c>
      <c r="AK24" t="str">
        <f>assignmentSQL('Master Table'!AK24,'Master Table'!AK$1,'Master Table'!$A24,'Master Table'!$B24)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'Korea'),0,1,0);</v>
      </c>
      <c r="AL24" t="str">
        <f>assignmentSQL('Master Table'!AL24,'Master Table'!AL$1,'Master Table'!$A24,'Master Table'!$B24)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'Korea'),0,1,0);</v>
      </c>
      <c r="AM24" t="str">
        <f>assignmentSQL('Master Table'!AM24,'Master Table'!AM$1,'Master Table'!$A24,'Master Table'!$B24)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'Korea'),0,1,0);</v>
      </c>
      <c r="AN24" t="str">
        <f>assignmentSQL('Master Table'!AN24,'Master Table'!AN$1,'Master Table'!$A24,'Master Table'!$B24)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'Korea'),0,1,0);</v>
      </c>
      <c r="AO24" t="str">
        <f>assignmentSQL('Master Table'!AO24,'Master Table'!AO$1,'Master Table'!$A24,'Master Table'!$B24)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'Korea'),0,1,0);</v>
      </c>
      <c r="AP24" t="str">
        <f>assignmentSQL('Master Table'!AP24,'Master Table'!AP$1,'Master Table'!$A24,'Master Table'!$B24)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'Korea'),0,1,0);</v>
      </c>
      <c r="AQ24" t="str">
        <f>assignmentSQL('Master Table'!AQ24,'Master Table'!AQ$1,'Master Table'!$A24,'Master Table'!$B24)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'Korea'),0,1,0);</v>
      </c>
      <c r="AR24" t="str">
        <f>assignmentSQL('Master Table'!AR24,'Master Table'!AR$1,'Master Table'!$A24,'Master Table'!$B24)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'Korea'),0,1,0);</v>
      </c>
      <c r="AS24" t="str">
        <f>assignmentSQL('Master Table'!AS24,'Master Table'!AS$1,'Master Table'!$A24,'Master Table'!$B24)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'Korea'),0,1,0);</v>
      </c>
      <c r="AT24" t="str">
        <f>assignmentSQL('Master Table'!AT24,'Master Table'!AT$1,'Master Table'!$A24,'Master Table'!$B24)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'Korea'),0,1,0);</v>
      </c>
      <c r="AU24" t="str">
        <f>assignmentSQL('Master Table'!AU24,'Master Table'!AU$1,'Master Table'!$A24,'Master Table'!$B24)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'Korea'),0,1,0);</v>
      </c>
      <c r="AV24" t="str">
        <f>assignmentSQL('Master Table'!AV24,'Master Table'!AV$1,'Master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'Korea'),0,1,0);</v>
      </c>
      <c r="AW24" t="str">
        <f>assignmentSQL('Master Table'!AW24,'Master Table'!AW$1,'Master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'Korea'),0,1,0);</v>
      </c>
      <c r="AX24" t="str">
        <f>assignmentSQL('Master Table'!AX24,'Master Table'!AX$1,'Master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'Korea'),0,1,0);</v>
      </c>
      <c r="AY24" t="str">
        <f>assignmentSQL('Master Table'!AY24,'Master Table'!AY$1,'Master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'Korea'),0,1,0);</v>
      </c>
      <c r="AZ24" t="str">
        <f>assignmentSQL('Master Table'!AZ24,'Master Table'!AZ$1,'Master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'Korea'),0,1,0);</v>
      </c>
      <c r="BA24" t="str">
        <f>assignmentSQL('Master Table'!BA24,'Master Table'!BA$1,'Master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'Korea'),0,1,0);INSERT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'Korea'),0,1,0);</v>
      </c>
      <c r="BB24" t="str">
        <f>assignmentSQL('Master Table'!BB24,'Master Table'!BB$1,'Master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'Korea'),0,1,0);INSERT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'Korea'),0,1,0);</v>
      </c>
      <c r="BC24" t="str">
        <f>assignmentSQL('Master Table'!BC24,'Master Table'!BC$1,'Master Table'!$A24,'Master Table'!$B24)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'Korea'),0,1,0);INSERT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'Korea'),0,1,0);</v>
      </c>
      <c r="BD24" t="str">
        <f>assignmentSQL('Master Table'!BD24,'Master Table'!BD$1,'Master Table'!$A24,'Master Table'!$B24)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'Korea'),0,1,0);</v>
      </c>
      <c r="BE24" t="str">
        <f>assignmentSQL('Master Table'!BE24,'Master Table'!BE$1,'Master Table'!$A24,'Master Table'!$B24)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'Korea'),0,1,0);</v>
      </c>
      <c r="BF24" t="str">
        <f>assignmentSQL('Master Table'!BF24,'Master Table'!BF$1,'Master Table'!$A24,'Master Table'!$B24)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'Korea'),0,1,0);</v>
      </c>
      <c r="BG24" t="str">
        <f>assignmentSQL('Master Table'!BG24,'Master Table'!BG$1,'Master Table'!$A24,'Master Table'!$B24)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'Korea'),0,1,0);</v>
      </c>
      <c r="BH24" t="str">
        <f>assignmentSQL('Master Table'!BH24,'Master Table'!BH$1,'Master Table'!$A24,'Master Table'!$B24)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'Korea'),0,1,0);</v>
      </c>
      <c r="BI24" t="str">
        <f>assignmentSQL('Master Table'!BI24,'Master Table'!BI$1,'Master Table'!$A24,'Master Table'!$B24)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'Korea'),0,1,0);</v>
      </c>
      <c r="BJ24" t="str">
        <f>assignmentSQL('Master Table'!BJ24,'Master Table'!BJ$1,'Master Table'!$A24,'Master Table'!$B24)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'Korea'),0,1,0);</v>
      </c>
      <c r="BK24" t="str">
        <f>assignmentSQL('Master Table'!BK24,'Master Table'!BK$1,'Master Table'!$A24,'Master Table'!$B24)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'Korea'),0,1,0);</v>
      </c>
      <c r="BL24" t="str">
        <f>assignmentSQL('Master Table'!BL24,'Master Table'!BL$1,'Master Table'!$A24,'Master Table'!$B24)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'Korea'),0,1,0);</v>
      </c>
    </row>
    <row r="25" spans="3:64" x14ac:dyDescent="0.25">
      <c r="C25" t="str">
        <f>assignmentSQL('Master Table'!C25,'Master Table'!C$1,'Master Table'!$A25,'Master Table'!$B25)</f>
        <v>INSERT INTO Contact_ProductLine_Map (ContactId, ProductLineId, RegionId, IsSales, IsPM, IsUserAdvocate) VALUES ((SELECT ContactId FROM Contact WHERE Name = 'YuJin Lee'), (SELECT ProductLineId FROM ProductLine WHERE Name = 'STAAD'), (SELECT RegionID FROM Region WHERE Name = 'Korea'),0,0,1);</v>
      </c>
      <c r="D25" t="str">
        <f>assignmentSQL('Master Table'!D25,'Master Table'!D$1,'Master Table'!$A25,'Master Table'!$B25)</f>
        <v>INSERT INTO Contact_ProductLine_Map (ContactId, ProductLineId, RegionId, IsSales, IsPM, IsUserAdvocate) VALUES ((SELECT ContactId FROM Contact WHERE Name = 'YuJin Lee'), (SELECT ProductLineId FROM ProductLine WHERE Name = 'RAM'), (SELECT RegionID FROM Region WHERE Name = 'Korea'),0,0,1);</v>
      </c>
      <c r="E25" t="str">
        <f>assignmentSQL('Master Table'!E25,'Master Table'!E$1,'Master Table'!$A25,'Master Table'!$B25)</f>
        <v>INSERT INTO Contact_ProductLine_Map (ContactId, ProductLineId, RegionId, IsSales, IsPM, IsUserAdvocate) VALUES ((SELECT ContactId FROM Contact WHERE Name = 'Madhan Elumalai'), (SELECT ProductLineId FROM ProductLine WHERE Name = 'AUTOPIPE'), (SELECT RegionID FROM Region WHERE Name = 'Korea'),0,0,1);</v>
      </c>
      <c r="F25" t="str">
        <f>assignmentSQL('Master Table'!F25,'Master Table'!F$1,'Master Table'!$A25,'Master Table'!$B25)</f>
        <v>INSERT INTO Contact_ProductLine_Map (ContactId, ProductLineId, RegionId, IsSales, IsPM, IsUserAdvocate) VALUES ((SELECT ContactId FROM Contact WHERE Name = 'Bitna Seo'), (SELECT ProductLineId FROM ProductLine WHERE Name = 'SACS'), (SELECT RegionID FROM Region WHERE Name = 'Korea'),0,0,1);</v>
      </c>
      <c r="G25" t="str">
        <f>assignmentSQL('Master Table'!G25,'Master Table'!G$1,'Master Table'!$A25,'Master Table'!$B25)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'Korea'),0,0,1);</v>
      </c>
      <c r="H25" t="str">
        <f>assignmentSQL('Master Table'!H25,'Master Table'!H$1,'Master Table'!$A25,'Master Table'!$B25)</f>
        <v>INSERT INTO Contact_ProductLine_Map (ContactId, ProductLineId, RegionId, IsSales, IsPM, IsUserAdvocate) VALUES ((SELECT ContactId FROM Contact WHERE Name = 'Bitna Seo'), (SELECT ProductLineId FROM ProductLine WHERE Name = 'MOSES'), (SELECT RegionID FROM Region WHERE Name = 'Korea'),0,0,1);</v>
      </c>
      <c r="I25" t="str">
        <f>assignmentSQL('Master Table'!I25,'Master Table'!I$1,'Master Table'!$A25,'Master Table'!$B25)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'Korea'),0,0,1);</v>
      </c>
      <c r="J25" t="str">
        <f>assignmentSQL('Master Table'!J25,'Master Table'!J$1,'Master Table'!$A25,'Master Table'!$B25)</f>
        <v>INSERT INTO Contact_ProductLine_Map (ContactId, ProductLineId, RegionId, IsSales, IsPM, IsUserAdvocate) VALUES ((SELECT ContactId FROM Contact WHERE Name = 'Ignacio Almagro'), (SELECT ProductLineId FROM ProductLine WHERE Name = 'LEAP'), (SELECT RegionID FROM Region WHERE Name = 'Korea'),0,0,1);</v>
      </c>
      <c r="K25" t="str">
        <f>assignmentSQL('Master Table'!K25,'Master Table'!K$1,'Master Table'!$A25,'Master Table'!$B25)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'Korea'),0,0,1);</v>
      </c>
      <c r="L25" t="str">
        <f>assignmentSQL('Master Table'!L25,'Master Table'!L$1,'Master Table'!$A25,'Master Table'!$B25)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'Korea'),0,0,1);</v>
      </c>
      <c r="M25" t="str">
        <f>assignmentSQL('Master Table'!M25,'Master Table'!M$1,'Master Table'!$A25,'Master Table'!$B25)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'Korea'),0,0,1);</v>
      </c>
      <c r="N25" t="str">
        <f>assignmentSQL('Master Table'!N25,'Master Table'!N$1,'Master Table'!$A25,'Master Table'!$B25)</f>
        <v>INSERT INTO Contact_ProductLine_Map (ContactId, ProductLineId, RegionId, IsSales, IsPM, IsUserAdvocate) VALUES ((SELECT ContactId FROM Contact WHERE Name = 'Stuart Milne'), (SELECT ProductLineId FROM ProductLine WHERE Name = 'AECOsim Building Designer'), (SELECT RegionID FROM Region WHERE Name = 'Korea'),0,0,1);</v>
      </c>
      <c r="O25" t="str">
        <f>assignmentSQL('Master Table'!O25,'Master Table'!O$1,'Master Table'!$A25,'Master Table'!$B25)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'Korea'),0,0,1);</v>
      </c>
      <c r="P25" t="str">
        <f>assignmentSQL('Master Table'!P25,'Master Table'!P$1,'Master Table'!$A25,'Master Table'!$B25)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'Korea'),0,0,1);</v>
      </c>
      <c r="Q25" t="str">
        <f>assignmentSQL('Master Table'!Q25,'Master Table'!Q$1,'Master Table'!$A25,'Master Table'!$B25)</f>
        <v>INSERT INTO Contact_ProductLine_Map (ContactId, ProductLineId, RegionId, IsSales, IsPM, IsUserAdvocate) VALUES ((SELECT ContactId FROM Contact WHERE Name = 'JaYoung You'), (SELECT ProductLineId FROM ProductLine WHERE Name = 'GEOPAK'), (SELECT RegionID FROM Region WHERE Name = 'Korea'),0,0,1);</v>
      </c>
      <c r="R25" t="str">
        <f>assignmentSQL('Master Table'!R25,'Master Table'!R$1,'Master Table'!$A25,'Master Table'!$B25)</f>
        <v>INSERT INTO Contact_ProductLine_Map (ContactId, ProductLineId, RegionId, IsSales, IsPM, IsUserAdvocate) VALUES ((SELECT ContactId FROM Contact WHERE Name = 'JaYoung You'), (SELECT ProductLineId FROM ProductLine WHERE Name = 'InRoads'), (SELECT RegionID FROM Region WHERE Name = 'Korea'),0,0,1);</v>
      </c>
      <c r="S25" t="str">
        <f>assignmentSQL('Master Table'!S25,'Master Table'!S$1,'Master Table'!$A25,'Master Table'!$B25)</f>
        <v>INSERT INTO Contact_ProductLine_Map (ContactId, ProductLineId, RegionId, IsSales, IsPM, IsUserAdvocate) VALUES ((SELECT ContactId FROM Contact WHERE Name = 'JaYoung You'), (SELECT ProductLineId FROM ProductLine WHERE Name = 'MX'), (SELECT RegionID FROM Region WHERE Name = 'Korea'),0,0,1);</v>
      </c>
      <c r="T25" t="str">
        <f>assignmentSQL('Master Table'!T25,'Master Table'!T$1,'Master Table'!$A25,'Master Table'!$B25)</f>
        <v>INSERT INTO Contact_ProductLine_Map (ContactId, ProductLineId, RegionId, IsSales, IsPM, IsUserAdvocate) VALUES ((SELECT ContactId FROM Contact WHERE Name = 'Maylen Yee'), (SELECT ProductLineId FROM ProductLine WHERE Name = 'OpenRail'), (SELECT RegionID FROM Region WHERE Name = 'Korea'),0,0,1);</v>
      </c>
      <c r="U25" t="str">
        <f>assignmentSQL('Master Table'!U25,'Master Table'!U$1,'Master Table'!$A25,'Master Table'!$B25)</f>
        <v/>
      </c>
      <c r="V25" t="str">
        <f>assignmentSQL('Master Table'!V25,'Master Table'!V$1,'Master Table'!$A25,'Master Table'!$B25)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'Korea'),0,0,1);</v>
      </c>
      <c r="W25" t="str">
        <f>assignmentSQL('Master Table'!W25,'Master Table'!W$1,'Master Table'!$A25,'Master Table'!$B25)</f>
        <v>INSERT INTO Contact_ProductLine_Map (ContactId, ProductLineId, RegionId, IsSales, IsPM, IsUserAdvocate) VALUES ((SELECT ContactId FROM Contact WHERE Name = 'JaYoung You'), (SELECT ProductLineId FROM ProductLine WHERE Name = 'gINT'), (SELECT RegionID FROM Region WHERE Name = 'Korea'),0,0,1);</v>
      </c>
      <c r="X25" t="str">
        <f>assignmentSQL('Master Table'!X25,'Master Table'!X$1,'Master Table'!$A25,'Master Table'!$B25)</f>
        <v/>
      </c>
      <c r="Y25" t="str">
        <f>assignmentSQL('Master Table'!Y25,'Master Table'!Y$1,'Master Table'!$A25,'Master Table'!$B25)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'Korea'),0,0,1);</v>
      </c>
      <c r="Z25" t="str">
        <f>assignmentSQL('Master Table'!Z25,'Master Table'!Z$1,'Master Table'!$A25,'Master Table'!$B25)</f>
        <v/>
      </c>
      <c r="AA25" t="str">
        <f>assignmentSQL('Master Table'!AA25,'Master Table'!AA$1,'Master Table'!$A25,'Master Table'!$B25)</f>
        <v>INSERT INTO Contact_ProductLine_Map (ContactId, ProductLineId, RegionId, IsSales, IsPM, IsUserAdvocate) VALUES ((SELECT ContactId FROM Contact WHERE Name = 'Jawwad Baig'), (SELECT ProductLineId FROM ProductLine WHERE Name = 'PlantSpace'), (SELECT RegionID FROM Region WHERE Name = 'Korea'),0,0,1);</v>
      </c>
      <c r="AB25" t="str">
        <f>assignmentSQL('Master Table'!AB25,'Master Table'!AB$1,'Master Table'!$A25,'Master Table'!$B25)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'Korea'),0,0,1);</v>
      </c>
      <c r="AC25" t="str">
        <f>assignmentSQL('Master Table'!AC25,'Master Table'!AC$1,'Master Table'!$A25,'Master Table'!$B25)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'Korea'),0,0,1);</v>
      </c>
      <c r="AD25" t="str">
        <f>assignmentSQL('Master Table'!AD25,'Master Table'!AD$1,'Master Table'!$A25,'Master Table'!$B25)</f>
        <v>INSERT INTO Contact_ProductLine_Map (ContactId, ProductLineId, RegionId, IsSales, IsPM, IsUserAdvocate) VALUES ((SELECT ContactId FROM Contact WHERE Name = 'Felix Zhou'), (SELECT ProductLineId FROM ProductLine WHERE Name = 'Pointools'), (SELECT RegionID FROM Region WHERE Name = 'Korea'),0,0,1);</v>
      </c>
      <c r="AE25" t="str">
        <f>assignmentSQL('Master Table'!AE25,'Master Table'!AE$1,'Master Table'!$A25,'Master Table'!$B25)</f>
        <v>INSERT INTO Contact_ProductLine_Map (ContactId, ProductLineId, RegionId, IsSales, IsPM, IsUserAdvocate) VALUES ((SELECT ContactId FROM Contact WHERE Name = 'Felix Zhou'), (SELECT ProductLineId FROM ProductLine WHERE Name = 'LumenRT'), (SELECT RegionID FROM Region WHERE Name = 'Korea'),0,0,1);</v>
      </c>
      <c r="AF25" t="str">
        <f>assignmentSQL('Master Table'!AF25,'Master Table'!AF$1,'Master Table'!$A25,'Master Table'!$B25)</f>
        <v>INSERT INTO Contact_ProductLine_Map (ContactId, ProductLineId, RegionId, IsSales, IsPM, IsUserAdvocate) VALUES ((SELECT ContactId FROM Contact WHERE Name = 'Felix Zhou'), (SELECT ProductLineId FROM ProductLine WHERE Name = 'ContextCapture'), (SELECT RegionID FROM Region WHERE Name = 'Korea'),0,0,1);</v>
      </c>
      <c r="AG25" t="str">
        <f>assignmentSQL('Master Table'!AG25,'Master Table'!AG$1,'Master Table'!$A25,'Master Table'!$B25)</f>
        <v>INSERT INTO Contact_ProductLine_Map (ContactId, ProductLineId, RegionId, IsSales, IsPM, IsUserAdvocate) VALUES ((SELECT ContactId FROM Contact WHERE Name = 'Felix Zhou'), (SELECT ProductLineId FROM ProductLine WHERE Name = 'Descartes'), (SELECT RegionID FROM Region WHERE Name = 'Korea'),0,0,1);</v>
      </c>
      <c r="AH25" t="str">
        <f>assignmentSQL('Master Table'!AH25,'Master Table'!AH$1,'Master Table'!$A25,'Master Table'!$B25)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'Korea'),0,0,1);</v>
      </c>
      <c r="AI25" t="str">
        <f>assignmentSQL('Master Table'!AI25,'Master Table'!AI$1,'Master Table'!$A25,'Master Table'!$B25)</f>
        <v/>
      </c>
      <c r="AJ25" t="str">
        <f>assignmentSQL('Master Table'!AJ25,'Master Table'!AJ$1,'Master Table'!$A25,'Master Table'!$B25)</f>
        <v>INSERT INTO Contact_ProductLine_Map (ContactId, ProductLineId, RegionId, IsSales, IsPM, IsUserAdvocate) VALUES ((SELECT ContactId FROM Contact WHERE Name = 'Engteck Soon'), (SELECT ProductLineId FROM ProductLine WHERE Name = 'AssetWise'), (SELECT RegionID FROM Region WHERE Name = 'Korea'),0,0,1);</v>
      </c>
      <c r="AK25" t="str">
        <f>assignmentSQL('Master Table'!AK25,'Master Table'!AK$1,'Master Table'!$A25,'Master Table'!$B25)</f>
        <v>INSERT INTO Contact_ProductLine_Map (ContactId, ProductLineId, RegionId, IsSales, IsPM, IsUserAdvocate) VALUES ((SELECT ContactId FROM Contact WHERE Name = 'Engteck Soon'), (SELECT ProductLineId FROM ProductLine WHERE Name = 'AssetWise APM'), (SELECT RegionID FROM Region WHERE Name = 'Korea'),0,0,1);</v>
      </c>
      <c r="AL25" t="str">
        <f>assignmentSQL('Master Table'!AL25,'Master Table'!AL$1,'Master Table'!$A25,'Master Table'!$B25)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'Korea'),0,0,1);</v>
      </c>
      <c r="AM25" t="str">
        <f>assignmentSQL('Master Table'!AM25,'Master Table'!AM$1,'Master Table'!$A25,'Master Table'!$B25)</f>
        <v>INSERT INTO Contact_ProductLine_Map (ContactId, ProductLineId, RegionId, IsSales, IsPM, IsUserAdvocate) VALUES ((SELECT ContactId FROM Contact WHERE Name = 'Linda Oliveira'), (SELECT ProductLineId FROM ProductLine WHERE Name = 'Map'), (SELECT RegionID FROM Region WHERE Name = 'Korea'),0,0,1);</v>
      </c>
      <c r="AN25" t="str">
        <f>assignmentSQL('Master Table'!AN25,'Master Table'!AN$1,'Master Table'!$A25,'Master Table'!$B25)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'Korea'),0,0,1);</v>
      </c>
      <c r="AO25" t="str">
        <f>assignmentSQL('Master Table'!AO25,'Master Table'!AO$1,'Master Table'!$A25,'Master Table'!$B25)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'Korea'),0,0,1);</v>
      </c>
      <c r="AP25" t="str">
        <f>assignmentSQL('Master Table'!AP25,'Master Table'!AP$1,'Master Table'!$A25,'Master Table'!$B25)</f>
        <v>INSERT INTO Contact_ProductLine_Map (ContactId, ProductLineId, RegionId, IsSales, IsPM, IsUserAdvocate) VALUES ((SELECT ContactId FROM Contact WHERE Name = 'MSV Rao'), (SELECT ProductLineId FROM ProductLine WHERE Name = 'Haestad'), (SELECT RegionID FROM Region WHERE Name = 'Korea'),0,0,1);</v>
      </c>
      <c r="AQ25" t="str">
        <f>assignmentSQL('Master Table'!AQ25,'Master Table'!AQ$1,'Master Table'!$A25,'Master Table'!$B25)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'Korea'),0,0,1);</v>
      </c>
      <c r="AR25" t="str">
        <f>assignmentSQL('Master Table'!AR25,'Master Table'!AR$1,'Master Table'!$A25,'Master Table'!$B25)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'Korea'),0,0,1);</v>
      </c>
      <c r="AS25" t="str">
        <f>assignmentSQL('Master Table'!AS25,'Master Table'!AS$1,'Master Table'!$A25,'Master Table'!$B25)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'Korea'),0,0,1);</v>
      </c>
      <c r="AT25" t="str">
        <f>assignmentSQL('Master Table'!AT25,'Master Table'!AT$1,'Master Table'!$A25,'Master Table'!$B25)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'Korea'),0,0,1);</v>
      </c>
      <c r="AU25" t="str">
        <f>assignmentSQL('Master Table'!AU25,'Master Table'!AU$1,'Master Table'!$A25,'Master Table'!$B25)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'Korea'),0,0,1);</v>
      </c>
      <c r="AV25" t="str">
        <f>assignmentSQL('Master Table'!AV25,'Master Table'!AV$1,'Master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Design Integration'), (SELECT RegionID FROM Region WHERE Name = 'Korea'),0,0,1);</v>
      </c>
      <c r="AW25" t="str">
        <f>assignmentSQL('Master Table'!AW25,'Master Table'!AW$1,'Master Table'!$A25,'Master Table'!$B25)</f>
        <v>INSERT INTO Contact_ProductLine_Map (ContactId, ProductLineId, RegionId, IsSales, IsPM, IsUserAdvocate) VALUES ((SELECT ContactId FROM Contact WHERE Name = 'Ranveer Basra'), (SELECT ProductLineId FROM ProductLine WHERE Name = 'ProjectWise Issues Resolution'), (SELECT RegionID FROM Region WHERE Name = 'Korea'),0,0,1);</v>
      </c>
      <c r="AX25" t="str">
        <f>assignmentSQL('Master Table'!AX25,'Master Table'!AX$1,'Master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Explorer Civil 3D Integration Module'), (SELECT RegionID FROM Region WHERE Name = 'Korea'),0,0,1);</v>
      </c>
      <c r="AY25" t="str">
        <f>assignmentSQL('Master Table'!AY25,'Master Table'!AY$1,'Master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Explorer Revit Integration Module'), (SELECT RegionID FROM Region WHERE Name = 'Korea'),0,0,1);</v>
      </c>
      <c r="AZ25" t="str">
        <f>assignmentSQL('Master Table'!AZ25,'Master Table'!AZ$1,'Master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Explorer Office Integration Module'), (SELECT RegionID FROM Region WHERE Name = 'Korea'),0,0,1);</v>
      </c>
      <c r="BA25" t="str">
        <f>assignmentSQL('Master Table'!BA25,'Master Table'!BA$1,'Master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Edge Mobile'), (SELECT RegionID FROM Region WHERE Name = 'Korea'),0,0,1);</v>
      </c>
      <c r="BB25" t="str">
        <f>assignmentSQL('Master Table'!BB25,'Master Table'!BB$1,'Master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WorkSite'), (SELECT RegionID FROM Region WHERE Name = 'Korea'),0,0,1);</v>
      </c>
      <c r="BC25" t="str">
        <f>assignmentSQL('Master Table'!BC25,'Master Table'!BC$1,'Master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Edge'), (SELECT RegionID FROM Region WHERE Name = 'Korea'),0,0,1);</v>
      </c>
      <c r="BD25" t="str">
        <f>assignmentSQL('Master Table'!BD25,'Master Table'!BD$1,'Master Table'!$A25,'Master Table'!$B25)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'Korea'),0,0,1);</v>
      </c>
      <c r="BE25" t="str">
        <f>assignmentSQL('Master Table'!BE25,'Master Table'!BE$1,'Master Table'!$A25,'Master Table'!$B25)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'Korea'),0,0,1);</v>
      </c>
      <c r="BF25" t="str">
        <f>assignmentSQL('Master Table'!BF25,'Master Table'!BF$1,'Master Table'!$A25,'Master Table'!$B25)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'Korea'),0,0,1);</v>
      </c>
      <c r="BG25" t="str">
        <f>assignmentSQL('Master Table'!BG25,'Master Table'!BG$1,'Master Table'!$A25,'Master Table'!$B25)</f>
        <v>INSERT INTO Contact_ProductLine_Map (ContactId, ProductLineId, RegionId, IsSales, IsPM, IsUserAdvocate) VALUES ((SELECT ContactId FROM Contact WHERE Name = 'Molly Watts'), (SELECT ProductLineId FROM ProductLine WHERE Name = 'Deliverables Management'), (SELECT RegionID FROM Region WHERE Name = 'Korea'),0,0,1);</v>
      </c>
      <c r="BH25" t="str">
        <f>assignmentSQL('Master Table'!BH25,'Master Table'!BH$1,'Master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'Korea'),0,0,1);</v>
      </c>
      <c r="BI25" t="str">
        <f>assignmentSQL('Master Table'!BI25,'Master Table'!BI$1,'Master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"Field Data Management'), (SELECT RegionID FROM Region WHERE Name = 'Korea'),0,0,1);</v>
      </c>
      <c r="BJ25" t="str">
        <f>assignmentSQL('Master Table'!BJ25,'Master Table'!BJ$1,'Master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'Korea'),0,0,1);</v>
      </c>
      <c r="BK25" t="str">
        <f>assignmentSQL('Master Table'!BK25,'Master Table'!BK$1,'Master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InterPlot Server and Interplot Organizer'), (SELECT RegionID FROM Region WHERE Name = 'Korea'),0,0,1);</v>
      </c>
      <c r="BL25" t="str">
        <f>assignmentSQL('Master Table'!BL25,'Master Table'!BL$1,'Master Table'!$A25,'Master Table'!$B25)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i-models'), (SELECT RegionID FROM Region WHERE Name = 'Korea'),0,0,1);</v>
      </c>
    </row>
    <row r="26" spans="3:64" x14ac:dyDescent="0.25">
      <c r="C26" t="str">
        <f>assignmentSQL('Master Table'!C26,'Master Table'!C$1,'Master Table'!$A26,'Master Table'!$B26)</f>
        <v>INSERT INTO Contact_ProductLine_Map (ContactId, ProductLineId, RegionId, IsSales, IsPM, IsUserAdvocate) VALUES ((SELECT ContactId FROM Contact WHERE Name = 'Clark McDonald'), (SELECT ProductLineId FROM ProductLine WHERE Name = 'STAAD'), (SELECT RegionID FROM Region WHERE Name = 'Japan'),1,0,0);</v>
      </c>
      <c r="D26" t="str">
        <f>assignmentSQL('Master Table'!D26,'Master Table'!D$1,'Master Table'!$A26,'Master Table'!$B26)</f>
        <v>INSERT INTO Contact_ProductLine_Map (ContactId, ProductLineId, RegionId, IsSales, IsPM, IsUserAdvocate) VALUES ((SELECT ContactId FROM Contact WHERE Name = 'Clark McDonald'), (SELECT ProductLineId FROM ProductLine WHERE Name = 'RAM'), (SELECT RegionID FROM Region WHERE Name = 'Japan'),1,0,0);</v>
      </c>
      <c r="E26" t="str">
        <f>assignmentSQL('Master Table'!E26,'Master Table'!E$1,'Master Table'!$A26,'Master Table'!$B26)</f>
        <v>INSERT INTO Contact_ProductLine_Map (ContactId, ProductLineId, RegionId, IsSales, IsPM, IsUserAdvocate) VALUES ((SELECT ContactId FROM Contact WHERE Name = 'Clark McDonald'), (SELECT ProductLineId FROM ProductLine WHERE Name = 'AUTOPIPE'), (SELECT RegionID FROM Region WHERE Name = 'Japan'),1,0,0);</v>
      </c>
      <c r="F26" t="str">
        <f>assignmentSQL('Master Table'!F26,'Master Table'!F$1,'Master Table'!$A26,'Master Table'!$B26)</f>
        <v>INSERT INTO Contact_ProductLine_Map (ContactId, ProductLineId, RegionId, IsSales, IsPM, IsUserAdvocate) VALUES ((SELECT ContactId FROM Contact WHERE Name = 'Clark McDonald'), (SELECT ProductLineId FROM ProductLine WHERE Name = 'SACS'), (SELECT RegionID FROM Region WHERE Name = 'Japan'),1,0,0);</v>
      </c>
      <c r="G26" t="str">
        <f>assignmentSQL('Master Table'!G26,'Master Table'!G$1,'Master Table'!$A26,'Master Table'!$B26)</f>
        <v>INSERT INTO Contact_ProductLine_Map (ContactId, ProductLineId, RegionId, IsSales, IsPM, IsUserAdvocate) VALUES ((SELECT ContactId FROM Contact WHERE Name = 'Clark McDonald'), (SELECT ProductLineId FROM ProductLine WHERE Name = 'MAXSURF'), (SELECT RegionID FROM Region WHERE Name = 'Japan'),1,0,0);</v>
      </c>
      <c r="H26" t="str">
        <f>assignmentSQL('Master Table'!H26,'Master Table'!H$1,'Master Table'!$A26,'Master Table'!$B26)</f>
        <v>INSERT INTO Contact_ProductLine_Map (ContactId, ProductLineId, RegionId, IsSales, IsPM, IsUserAdvocate) VALUES ((SELECT ContactId FROM Contact WHERE Name = 'Clark McDonald'), (SELECT ProductLineId FROM ProductLine WHERE Name = 'MOSES'), (SELECT RegionID FROM Region WHERE Name = 'Japan'),1,0,0);</v>
      </c>
      <c r="I26" t="str">
        <f>assignmentSQL('Master Table'!I26,'Master Table'!I$1,'Master Table'!$A26,'Master Table'!$B26)</f>
        <v/>
      </c>
      <c r="J26" t="str">
        <f>assignmentSQL('Master Table'!J26,'Master Table'!J$1,'Master Table'!$A26,'Master Table'!$B26)</f>
        <v/>
      </c>
      <c r="K26" t="str">
        <f>assignmentSQL('Master Table'!K26,'Master Table'!K$1,'Master Table'!$A26,'Master Table'!$B26)</f>
        <v/>
      </c>
      <c r="L26" t="str">
        <f>assignmentSQL('Master Table'!L26,'Master Table'!L$1,'Master Table'!$A26,'Master Table'!$B26)</f>
        <v/>
      </c>
      <c r="M26" t="str">
        <f>assignmentSQL('Master Table'!M26,'Master Table'!M$1,'Master Table'!$A26,'Master Table'!$B26)</f>
        <v>INSERT INTO Contact_ProductLine_Map (ContactId, ProductLineId, RegionId, IsSales, IsPM, IsUserAdvocate) VALUES ((SELECT ContactId FROM Contact WHERE Name = 'Clark McDonald'), (SELECT ProductLineId FROM ProductLine WHERE Name = 'SITEOPS'), (SELECT RegionID FROM Region WHERE Name = 'Japan'),1,0,0);</v>
      </c>
      <c r="N26" t="str">
        <f>assignmentSQL('Master Table'!N26,'Master Table'!N$1,'Master Table'!$A26,'Master Table'!$B26)</f>
        <v>INSERT INTO Contact_ProductLine_Map (ContactId, ProductLineId, RegionId, IsSales, IsPM, IsUserAdvocate) VALUES ((SELECT ContactId FROM Contact WHERE Name = 'Pradip Maity'), (SELECT ProductLineId FROM ProductLine WHERE Name = 'AECOsim Building Designer'), (SELECT RegionID FROM Region WHERE Name = 'Japan'),1,0,0);</v>
      </c>
      <c r="O26" t="str">
        <f>assignmentSQL('Master Table'!O26,'Master Table'!O$1,'Master Table'!$A26,'Master Table'!$B26)</f>
        <v>INSERT INTO Contact_ProductLine_Map (ContactId, ProductLineId, RegionId, IsSales, IsPM, IsUserAdvocate) VALUES ((SELECT ContactId FROM Contact WHERE Name = 'Pradip Maity'), (SELECT ProductLineId FROM ProductLine WHERE Name = 'speedikon'), (SELECT RegionID FROM Region WHERE Name = 'Japan'),1,0,0);</v>
      </c>
      <c r="P26" t="str">
        <f>assignmentSQL('Master Table'!P26,'Master Table'!P$1,'Master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'Hevacomp'), (SELECT RegionID FROM Region WHERE Name = 'Japan'),1,0,0);</v>
      </c>
      <c r="Q26" t="str">
        <f>assignmentSQL('Master Table'!Q26,'Master Table'!Q$1,'Master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'GEOPAK'), (SELECT RegionID FROM Region WHERE Name = 'Japan'),1,0,0);</v>
      </c>
      <c r="R26" t="str">
        <f>assignmentSQL('Master Table'!R26,'Master Table'!R$1,'Master Table'!$A26,'Master Table'!$B26)</f>
        <v>INSERT INTO Contact_ProductLine_Map (ContactId, ProductLineId, RegionId, IsSales, IsPM, IsUserAdvocate) VALUES ((SELECT ContactId FROM Contact WHERE Name = 'Raj Dodda'), (SELECT ProductLineId FROM ProductLine WHERE Name = 'InRoads'), (SELECT RegionID FROM Region WHERE Name = 'Japan'),1,0,0);</v>
      </c>
      <c r="S26" t="str">
        <f>assignmentSQL('Master Table'!S26,'Master Table'!S$1,'Master Table'!$A26,'Master Table'!$B26)</f>
        <v>INSERT INTO Contact_ProductLine_Map (ContactId, ProductLineId, RegionId, IsSales, IsPM, IsUserAdvocate) VALUES ((SELECT ContactId FROM Contact WHERE Name = 'Raj Dodda'), (SELECT ProductLineId FROM ProductLine WHERE Name = 'MX'), (SELECT RegionID FROM Region WHERE Name = 'Japan'),1,0,0);</v>
      </c>
      <c r="T26" t="str">
        <f>assignmentSQL('Master Table'!T26,'Master Table'!T$1,'Master Table'!$A26,'Master Table'!$B26)</f>
        <v>INSERT INTO Contact_ProductLine_Map (ContactId, ProductLineId, RegionId, IsSales, IsPM, IsUserAdvocate) VALUES ((SELECT ContactId FROM Contact WHERE Name = 'Raj Dodda'), (SELECT ProductLineId FROM ProductLine WHERE Name = 'OpenRail'), (SELECT RegionID FROM Region WHERE Name = 'Japan'),1,0,0);</v>
      </c>
      <c r="U26" t="str">
        <f>assignmentSQL('Master Table'!U26,'Master Table'!U$1,'Master Table'!$A26,'Master Table'!$B26)</f>
        <v>INSERT INTO Contact_ProductLine_Map (ContactId, ProductLineId, RegionId, IsSales, IsPM, IsUserAdvocate) VALUES ((SELECT ContactId FROM Contact WHERE Name = 'Raj Dodda'), (SELECT ProductLineId FROM ProductLine WHERE Name = 'OpenRoads'), (SELECT RegionID FROM Region WHERE Name = 'Japan'),1,0,0);</v>
      </c>
      <c r="V26" t="str">
        <f>assignmentSQL('Master Table'!V26,'Master Table'!V$1,'Master Table'!$A26,'Master Table'!$B26)</f>
        <v>INSERT INTO Contact_ProductLine_Map (ContactId, ProductLineId, RegionId, IsSales, IsPM, IsUserAdvocate) VALUES ((SELECT ContactId FROM Contact WHERE Name = 'Raj Dodda'), (SELECT ProductLineId FROM ProductLine WHERE Name = 'ConceptStation'), (SELECT RegionID FROM Region WHERE Name = 'Japan'),1,0,0);</v>
      </c>
      <c r="W26" t="str">
        <f>assignmentSQL('Master Table'!W26,'Master Table'!W$1,'Master Table'!$A26,'Master Table'!$B26)</f>
        <v>INSERT INTO Contact_ProductLine_Map (ContactId, ProductLineId, RegionId, IsSales, IsPM, IsUserAdvocate) VALUES ((SELECT ContactId FROM Contact WHERE Name = 'Raj Dodda'), (SELECT ProductLineId FROM ProductLine WHERE Name = 'gINT'), (SELECT RegionID FROM Region WHERE Name = 'Japan'),1,0,0);</v>
      </c>
      <c r="X26" t="str">
        <f>assignmentSQL('Master Table'!X26,'Master Table'!X$1,'Master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'AutoPLANT'), (SELECT RegionID FROM Region WHERE Name = 'Japan'),1,0,0);</v>
      </c>
      <c r="Y26" t="str">
        <f>assignmentSQL('Master Table'!Y26,'Master Table'!Y$1,'Master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'AXSYS'), (SELECT RegionID FROM Region WHERE Name = 'Japan'),1,0,0);</v>
      </c>
      <c r="Z26" t="str">
        <f>assignmentSQL('Master Table'!Z26,'Master Table'!Z$1,'Master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'OpenPlant'), (SELECT RegionID FROM Region WHERE Name = 'Japan'),1,0,0);</v>
      </c>
      <c r="AA26" t="str">
        <f>assignmentSQL('Master Table'!AA26,'Master Table'!AA$1,'Master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'PlantSpace'), (SELECT RegionID FROM Region WHERE Name = 'Japan'),1,0,0);</v>
      </c>
      <c r="AB26" t="str">
        <f>assignmentSQL('Master Table'!AB26,'Master Table'!AB$1,'Master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'MineCycle'), (SELECT RegionID FROM Region WHERE Name = 'Japan'),1,0,0);</v>
      </c>
      <c r="AC26" t="str">
        <f>assignmentSQL('Master Table'!AC26,'Master Table'!AC$1,'Master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'Plantwise'), (SELECT RegionID FROM Region WHERE Name = 'Japan'),1,0,0);</v>
      </c>
      <c r="AD26" t="str">
        <f>assignmentSQL('Master Table'!AD26,'Master Table'!AD$1,'Master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'Pointools'), (SELECT RegionID FROM Region WHERE Name = 'Japan'),1,0,0);</v>
      </c>
      <c r="AE26" t="str">
        <f>assignmentSQL('Master Table'!AE26,'Master Table'!AE$1,'Master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'LumenRT'), (SELECT RegionID FROM Region WHERE Name = 'Japan'),1,0,0);</v>
      </c>
      <c r="AF26" t="str">
        <f>assignmentSQL('Master Table'!AF26,'Master Table'!AF$1,'Master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'ContextCapture'), (SELECT RegionID FROM Region WHERE Name = 'Japan'),1,0,0);</v>
      </c>
      <c r="AG26" t="str">
        <f>assignmentSQL('Master Table'!AG26,'Master Table'!AG$1,'Master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'Descartes'), (SELECT RegionID FROM Region WHERE Name = 'Japan'),1,0,0);</v>
      </c>
      <c r="AH26" t="str">
        <f>assignmentSQL('Master Table'!AH26,'Master Table'!AH$1,'Master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'ProStructures'), (SELECT RegionID FROM Region WHERE Name = 'Japan'),1,0,0);</v>
      </c>
      <c r="AI26" t="str">
        <f>assignmentSQL('Master Table'!AI26,'Master Table'!AI$1,'Master Table'!$A26,'Master Table'!$B26)</f>
        <v>INSERT INTO Contact_ProductLine_Map (ContactId, ProductLineId, RegionId, IsSales, IsPM, IsUserAdvocate) VALUES ((SELECT ContactId FROM Contact WHERE Name = 'Sai Selvakumar'), (SELECT ProductLineId FROM ProductLine WHERE Name = 'promis*e'), (SELECT RegionID FROM Region WHERE Name = 'Japan'),1,0,0);</v>
      </c>
      <c r="AJ26" t="str">
        <f>assignmentSQL('Master Table'!AJ26,'Master Table'!AJ$1,'Master Table'!$A26,'Master Table'!$B26)</f>
        <v>INSERT INTO Contact_ProductLine_Map (ContactId, ProductLineId, RegionId, IsSales, IsPM, IsUserAdvocate) VALUES ((SELECT ContactId FROM Contact WHERE Name = 'George Castle'), (SELECT ProductLineId FROM ProductLine WHERE Name = 'AssetWise'), (SELECT RegionID FROM Region WHERE Name = 'Japan'),1,0,0);</v>
      </c>
      <c r="AK26" t="str">
        <f>assignmentSQL('Master Table'!AK26,'Master Table'!AK$1,'Master Table'!$A26,'Master Table'!$B26)</f>
        <v>INSERT INTO Contact_ProductLine_Map (ContactId, ProductLineId, RegionId, IsSales, IsPM, IsUserAdvocate) VALUES ((SELECT ContactId FROM Contact WHERE Name = 'David Smith'), (SELECT ProductLineId FROM ProductLine WHERE Name = 'AssetWise APM'), (SELECT RegionID FROM Region WHERE Name = 'Japan'),1,0,0);</v>
      </c>
      <c r="AL26" t="str">
        <f>assignmentSQL('Master Table'!AL26,'Master Table'!AL$1,'Master Table'!$A26,'Master Table'!$B26)</f>
        <v>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'Japan'),1,0,0);INSERT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'Japan'),1,0,0);INSERT INTO Contact_ProductLine_Map (ContactId, ProductLineId, RegionId, IsSales, IsPM, IsUserAdvocate) VALUES ((SELECT ContactId FROM Contact WHERE Name = 'Jim Lucas'), (SELECT ProductLineId FROM ProductLine WHERE Name = 'OpenUtilities'), (SELECT RegionID FROM Region WHERE Name = 'Japan'),1,0,0);</v>
      </c>
      <c r="AM26" t="str">
        <f>assignmentSQL('Master Table'!AM26,'Master Table'!AM$1,'Master Table'!$A26,'Master Table'!$B26)</f>
        <v>INSERT INTO Contact_ProductLine_Map (ContactId, ProductLineId, RegionId, IsSales, IsPM, IsUserAdvocate) VALUES ((SELECT ContactId FROM Contact WHERE Name = 'Gaurav Malik'), (SELECT ProductLineId FROM ProductLine WHERE Name = 'Map'), (SELECT RegionID FROM Region WHERE Name = 'Japan'),1,0,0);INSERT INTO Contact_ProductLine_Map (ContactId, ProductLineId, RegionId, IsSales, IsPM, IsUserAdvocate) VALUES ((SELECT ContactId FROM Contact WHERE Name = 'Suneet Manjavkar'), (SELECT ProductLineId FROM ProductLine WHERE Name = 'Map'), (SELECT RegionID FROM Region WHERE Name = 'Japan'),1,0,0);</v>
      </c>
      <c r="AN26" t="str">
        <f>assignmentSQL('Master Table'!AN26,'Master Table'!AN$1,'Master Table'!$A26,'Master Table'!$B26)</f>
        <v>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'Japan'),1,0,0);INSERT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'Japan'),1,0,0);INSERT INTO Contact_ProductLine_Map (ContactId, ProductLineId, RegionId, IsSales, IsPM, IsUserAdvocate) VALUES ((SELECT ContactId FROM Contact WHERE Name = 'Jim Lucas'), (SELECT ProductLineId FROM ProductLine WHERE Name = 'OpenComms'), (SELECT RegionID FROM Region WHERE Name = 'Japan'),1,0,0);</v>
      </c>
      <c r="AO26" t="str">
        <f>assignmentSQL('Master Table'!AO26,'Master Table'!AO$1,'Master Table'!$A26,'Master Table'!$B26)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'Japan'),1,0,0);INSERT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'Japan'),1,0,0);</v>
      </c>
      <c r="AP26" t="str">
        <f>assignmentSQL('Master Table'!AP26,'Master Table'!AP$1,'Master Table'!$A26,'Master Table'!$B26)</f>
        <v>INSERT INTO Contact_ProductLine_Map (ContactId, ProductLineId, RegionId, IsSales, IsPM, IsUserAdvocate) VALUES ((SELECT ContactId FROM Contact WHERE Name = 'Vincent Ng'), (SELECT ProductLineId FROM ProductLine WHERE Name = 'Haestad'), (SELECT RegionID FROM Region WHERE Name = 'Japan'),1,0,0);</v>
      </c>
      <c r="AQ26" t="str">
        <f>assignmentSQL('Master Table'!AQ26,'Master Table'!AQ$1,'Master Table'!$A26,'Master Table'!$B26)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'Japan'),1,0,0);INSERT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'Japan'),1,0,0);</v>
      </c>
      <c r="AR26" t="str">
        <f>assignmentSQL('Master Table'!AR26,'Master Table'!AR$1,'Master Table'!$A26,'Master Table'!$B26)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'Japan'),1,0,0);</v>
      </c>
      <c r="AS26" t="str">
        <f>assignmentSQL('Master Table'!AS26,'Master Table'!AS$1,'Master Table'!$A26,'Master Table'!$B26)</f>
        <v>INSERT INTO Contact_ProductLine_Map (ContactId, ProductLineId, RegionId, IsSales, IsPM, IsUserAdvocate) VALUES ((SELECT ContactId FROM Contact WHERE Name = 'David Smith'), (SELECT ProductLineId FROM ProductLine WHERE Name = 'Amulet'), (SELECT RegionID FROM Region WHERE Name = 'Japan'),1,0,0);</v>
      </c>
      <c r="AT26" t="str">
        <f>assignmentSQL('Master Table'!AT26,'Master Table'!AT$1,'Master Table'!$A26,'Master Table'!$B26)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'Japan'),1,0,0);</v>
      </c>
      <c r="AU26" t="str">
        <f>assignmentSQL('Master Table'!AU26,'Master Table'!AU$1,'Master Table'!$A26,'Master Table'!$B26)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'Japan'),1,0,0);</v>
      </c>
      <c r="AV26" t="str">
        <f>assignmentSQL('Master Table'!AV26,'Master Table'!AV$1,'Master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Design Integration'), (SELECT RegionID FROM Region WHERE Name = 'Japan'),1,0,0);</v>
      </c>
      <c r="AW26" t="str">
        <f>assignmentSQL('Master Table'!AW26,'Master Table'!AW$1,'Master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Issues Resolution'), (SELECT RegionID FROM Region WHERE Name = 'Japan'),1,0,0);</v>
      </c>
      <c r="AX26" t="str">
        <f>assignmentSQL('Master Table'!AX26,'Master Table'!AX$1,'Master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Explorer Civil 3D Integration Module'), (SELECT RegionID FROM Region WHERE Name = 'Japan'),1,0,0);</v>
      </c>
      <c r="AY26" t="str">
        <f>assignmentSQL('Master Table'!AY26,'Master Table'!AY$1,'Master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Explorer Revit Integration Module'), (SELECT RegionID FROM Region WHERE Name = 'Japan'),1,0,0);</v>
      </c>
      <c r="AZ26" t="str">
        <f>assignmentSQL('Master Table'!AZ26,'Master Table'!AZ$1,'Master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Explorer Office Integration Module'), (SELECT RegionID FROM Region WHERE Name = 'Japan'),1,0,0);</v>
      </c>
      <c r="BA26" t="str">
        <f>assignmentSQL('Master Table'!BA26,'Master Table'!BA$1,'Master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Edge Mobile'), (SELECT RegionID FROM Region WHERE Name = 'Japan'),1,0,0);</v>
      </c>
      <c r="BB26" t="str">
        <f>assignmentSQL('Master Table'!BB26,'Master Table'!BB$1,'Master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WorkSite'), (SELECT RegionID FROM Region WHERE Name = 'Japan'),1,0,0);</v>
      </c>
      <c r="BC26" t="str">
        <f>assignmentSQL('Master Table'!BC26,'Master Table'!BC$1,'Master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Edge'), (SELECT RegionID FROM Region WHERE Name = 'Japan'),1,0,0);</v>
      </c>
      <c r="BD26" t="str">
        <f>assignmentSQL('Master Table'!BD26,'Master Table'!BD$1,'Master Table'!$A26,'Master Table'!$B26)</f>
        <v>INSERT INTO Contact_ProductLine_Map (ContactId, ProductLineId, RegionId, IsSales, IsPM, IsUserAdvocate) VALUES ((SELECT ContactId FROM Contact WHERE Name = 'Steven Chau'), (SELECT ProductLineId FROM ProductLine WHERE Name = 'Navigator CE'), (SELECT RegionID FROM Region WHERE Name = 'Japan'),1,0,0);</v>
      </c>
      <c r="BE26" t="str">
        <f>assignmentSQL('Master Table'!BE26,'Master Table'!BE$1,'Master Table'!$A26,'Master Table'!$B26)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'Japan'),1,0,0);</v>
      </c>
      <c r="BF26" t="str">
        <f>assignmentSQL('Master Table'!BF26,'Master Table'!BF$1,'Master Table'!$A26,'Master Table'!$B26)</f>
        <v>INSERT INTO Contact_ProductLine_Map (ContactId, ProductLineId, RegionId, IsSales, IsPM, IsUserAdvocate) VALUES ((SELECT ContactId FROM Contact WHERE Name = 'Eric Law'), (SELECT ProductLineId FROM ProductLine WHERE Name = 'EADOC UI Upgrade'), (SELECT RegionID FROM Region WHERE Name = 'Japan'),1,0,0);</v>
      </c>
      <c r="BG26" t="str">
        <f>assignmentSQL('Master Table'!BG26,'Master Table'!BG$1,'Master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'Deliverables Management'), (SELECT RegionID FROM Region WHERE Name = 'Japan'),1,0,0);</v>
      </c>
      <c r="BH26" t="str">
        <f>assignmentSQL('Master Table'!BH26,'Master Table'!BH$1,'Master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'Bentley Automation Service CONNECT Edition'), (SELECT RegionID FROM Region WHERE Name = 'Japan'),1,0,0);</v>
      </c>
      <c r="BI26" t="str">
        <f>assignmentSQL('Master Table'!BI26,'Master Table'!BI$1,'Master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"Field Data Management'), (SELECT RegionID FROM Region WHERE Name = 'Japan'),1,0,0);</v>
      </c>
      <c r="BJ26" t="str">
        <f>assignmentSQL('Master Table'!BJ26,'Master Table'!BJ$1,'Master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PDF'), (SELECT RegionID FROM Region WHERE Name = 'Japan'),1,0,0);</v>
      </c>
      <c r="BK26" t="str">
        <f>assignmentSQL('Master Table'!BK26,'Master Table'!BK$1,'Master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InterPlot Server and Interplot Organizer'), (SELECT RegionID FROM Region WHERE Name = 'Japan'),1,0,0);</v>
      </c>
      <c r="BL26" t="str">
        <f>assignmentSQL('Master Table'!BL26,'Master Table'!BL$1,'Master Table'!$A26,'Master Table'!$B26)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i-models'), (SELECT RegionID FROM Region WHERE Name = 'Japan'),1,0,0);</v>
      </c>
    </row>
    <row r="27" spans="3:64" x14ac:dyDescent="0.25">
      <c r="C27" t="str">
        <f>assignmentSQL('Master Table'!C27,'Master Table'!C$1,'Master Table'!$A27,'Master Table'!$B27)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'Japan'),0,1,0);</v>
      </c>
      <c r="D27" t="str">
        <f>assignmentSQL('Master Table'!D27,'Master Table'!D$1,'Master Table'!$A27,'Master Table'!$B27)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'Japan'),0,1,0);</v>
      </c>
      <c r="E27" t="str">
        <f>assignmentSQL('Master Table'!E27,'Master Table'!E$1,'Master Table'!$A27,'Master Table'!$B27)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'Japan'),0,1,0);INSERT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'Japan'),0,1,0);</v>
      </c>
      <c r="F27" t="str">
        <f>assignmentSQL('Master Table'!F27,'Master Table'!F$1,'Master Table'!$A27,'Master Table'!$B27)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'Japan'),0,1,0);</v>
      </c>
      <c r="G27" t="str">
        <f>assignmentSQL('Master Table'!G27,'Master Table'!G$1,'Master Table'!$A27,'Master Table'!$B27)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'Japan'),0,1,0);</v>
      </c>
      <c r="H27" t="str">
        <f>assignmentSQL('Master Table'!H27,'Master Table'!H$1,'Master Table'!$A27,'Master Table'!$B27)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'Japan'),0,1,0);</v>
      </c>
      <c r="I27" t="str">
        <f>assignmentSQL('Master Table'!I27,'Master Table'!I$1,'Master Table'!$A27,'Master Table'!$B27)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'Japan'),0,1,0);</v>
      </c>
      <c r="J27" t="str">
        <f>assignmentSQL('Master Table'!J27,'Master Table'!J$1,'Master Table'!$A27,'Master Table'!$B27)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'Japan'),0,1,0);</v>
      </c>
      <c r="K27" t="str">
        <f>assignmentSQL('Master Table'!K27,'Master Table'!K$1,'Master Table'!$A27,'Master Table'!$B27)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'Japan'),0,1,0);</v>
      </c>
      <c r="L27" t="str">
        <f>assignmentSQL('Master Table'!L27,'Master Table'!L$1,'Master Table'!$A27,'Master Table'!$B27)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'Japan'),0,1,0);</v>
      </c>
      <c r="M27" t="str">
        <f>assignmentSQL('Master Table'!M27,'Master Table'!M$1,'Master Table'!$A27,'Master Table'!$B27)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'Japan'),0,1,0);</v>
      </c>
      <c r="N27" t="str">
        <f>assignmentSQL('Master Table'!N27,'Master Table'!N$1,'Master Table'!$A27,'Master Table'!$B27)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'Japan'),0,1,0);</v>
      </c>
      <c r="O27" t="str">
        <f>assignmentSQL('Master Table'!O27,'Master Table'!O$1,'Master Table'!$A27,'Master Table'!$B27)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'Japan'),0,1,0);</v>
      </c>
      <c r="P27" t="str">
        <f>assignmentSQL('Master Table'!P27,'Master Table'!P$1,'Master Table'!$A27,'Master Table'!$B27)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'Japan'),0,1,0);</v>
      </c>
      <c r="Q27" t="str">
        <f>assignmentSQL('Master Table'!Q27,'Master Table'!Q$1,'Master Table'!$A27,'Master Table'!$B27)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'Japan'),0,1,0);</v>
      </c>
      <c r="R27" t="str">
        <f>assignmentSQL('Master Table'!R27,'Master Table'!R$1,'Master Table'!$A27,'Master Table'!$B27)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'Japan'),0,1,0);</v>
      </c>
      <c r="S27" t="str">
        <f>assignmentSQL('Master Table'!S27,'Master Table'!S$1,'Master Table'!$A27,'Master Table'!$B27)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'Japan'),0,1,0);</v>
      </c>
      <c r="T27" t="str">
        <f>assignmentSQL('Master Table'!T27,'Master Table'!T$1,'Master Table'!$A27,'Master Table'!$B27)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'Japan'),0,1,0);</v>
      </c>
      <c r="U27" t="str">
        <f>assignmentSQL('Master Table'!U27,'Master Table'!U$1,'Master Table'!$A27,'Master Table'!$B27)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'Japan'),0,1,0);</v>
      </c>
      <c r="V27" t="str">
        <f>assignmentSQL('Master Table'!V27,'Master Table'!V$1,'Master Table'!$A27,'Master Table'!$B27)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'Japan'),0,1,0);</v>
      </c>
      <c r="W27" t="str">
        <f>assignmentSQL('Master Table'!W27,'Master Table'!W$1,'Master Table'!$A27,'Master Table'!$B27)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'Japan'),0,1,0);</v>
      </c>
      <c r="X27" t="str">
        <f>assignmentSQL('Master Table'!X27,'Master Table'!X$1,'Master Table'!$A27,'Master Table'!$B27)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'Japan'),0,1,0);</v>
      </c>
      <c r="Y27" t="str">
        <f>assignmentSQL('Master Table'!Y27,'Master Table'!Y$1,'Master Table'!$A27,'Master Table'!$B27)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'Japan'),0,1,0);</v>
      </c>
      <c r="Z27" t="str">
        <f>assignmentSQL('Master Table'!Z27,'Master Table'!Z$1,'Master Table'!$A27,'Master Table'!$B27)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'Japan'),0,1,0);</v>
      </c>
      <c r="AA27" t="str">
        <f>assignmentSQL('Master Table'!AA27,'Master Table'!AA$1,'Master Table'!$A27,'Master Table'!$B27)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'Japan'),0,1,0);</v>
      </c>
      <c r="AB27" t="str">
        <f>assignmentSQL('Master Table'!AB27,'Master Table'!AB$1,'Master Table'!$A27,'Master Table'!$B27)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'Japan'),0,1,0);</v>
      </c>
      <c r="AC27" t="str">
        <f>assignmentSQL('Master Table'!AC27,'Master Table'!AC$1,'Master Table'!$A27,'Master Table'!$B27)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'Japan'),0,1,0);</v>
      </c>
      <c r="AD27" t="str">
        <f>assignmentSQL('Master Table'!AD27,'Master Table'!AD$1,'Master Table'!$A27,'Master Table'!$B27)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'Japan'),0,1,0);</v>
      </c>
      <c r="AE27" t="str">
        <f>assignmentSQL('Master Table'!AE27,'Master Table'!AE$1,'Master Table'!$A27,'Master Table'!$B27)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'Japan'),0,1,0);</v>
      </c>
      <c r="AF27" t="str">
        <f>assignmentSQL('Master Table'!AF27,'Master Table'!AF$1,'Master Table'!$A27,'Master Table'!$B27)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'Japan'),0,1,0);</v>
      </c>
      <c r="AG27" t="str">
        <f>assignmentSQL('Master Table'!AG27,'Master Table'!AG$1,'Master Table'!$A27,'Master Table'!$B27)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'Japan'),0,1,0);</v>
      </c>
      <c r="AH27" t="str">
        <f>assignmentSQL('Master Table'!AH27,'Master Table'!AH$1,'Master Table'!$A27,'Master Table'!$B27)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'Japan'),0,1,0);</v>
      </c>
      <c r="AI27" t="str">
        <f>assignmentSQL('Master Table'!AI27,'Master Table'!AI$1,'Master Table'!$A27,'Master Table'!$B27)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'Japan'),0,1,0);</v>
      </c>
      <c r="AJ27" t="str">
        <f>assignmentSQL('Master Table'!AJ27,'Master Table'!AJ$1,'Master Table'!$A27,'Master Table'!$B27)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'Japan'),0,1,0);</v>
      </c>
      <c r="AK27" t="str">
        <f>assignmentSQL('Master Table'!AK27,'Master Table'!AK$1,'Master Table'!$A27,'Master Table'!$B27)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'Japan'),0,1,0);</v>
      </c>
      <c r="AL27" t="str">
        <f>assignmentSQL('Master Table'!AL27,'Master Table'!AL$1,'Master Table'!$A27,'Master Table'!$B27)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'Japan'),0,1,0);</v>
      </c>
      <c r="AM27" t="str">
        <f>assignmentSQL('Master Table'!AM27,'Master Table'!AM$1,'Master Table'!$A27,'Master Table'!$B27)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'Japan'),0,1,0);</v>
      </c>
      <c r="AN27" t="str">
        <f>assignmentSQL('Master Table'!AN27,'Master Table'!AN$1,'Master Table'!$A27,'Master Table'!$B27)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'Japan'),0,1,0);</v>
      </c>
      <c r="AO27" t="str">
        <f>assignmentSQL('Master Table'!AO27,'Master Table'!AO$1,'Master Table'!$A27,'Master Table'!$B27)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'Japan'),0,1,0);</v>
      </c>
      <c r="AP27" t="str">
        <f>assignmentSQL('Master Table'!AP27,'Master Table'!AP$1,'Master Table'!$A27,'Master Table'!$B27)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'Japan'),0,1,0);</v>
      </c>
      <c r="AQ27" t="str">
        <f>assignmentSQL('Master Table'!AQ27,'Master Table'!AQ$1,'Master Table'!$A27,'Master Table'!$B27)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'Japan'),0,1,0);</v>
      </c>
      <c r="AR27" t="str">
        <f>assignmentSQL('Master Table'!AR27,'Master Table'!AR$1,'Master Table'!$A27,'Master Table'!$B27)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'Japan'),0,1,0);</v>
      </c>
      <c r="AS27" t="str">
        <f>assignmentSQL('Master Table'!AS27,'Master Table'!AS$1,'Master Table'!$A27,'Master Table'!$B27)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'Japan'),0,1,0);</v>
      </c>
      <c r="AT27" t="str">
        <f>assignmentSQL('Master Table'!AT27,'Master Table'!AT$1,'Master Table'!$A27,'Master Table'!$B27)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'Japan'),0,1,0);</v>
      </c>
      <c r="AU27" t="str">
        <f>assignmentSQL('Master Table'!AU27,'Master Table'!AU$1,'Master Table'!$A27,'Master Table'!$B27)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'Japan'),0,1,0);</v>
      </c>
      <c r="AV27" t="str">
        <f>assignmentSQL('Master Table'!AV27,'Master Table'!AV$1,'Master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'Japan'),0,1,0);</v>
      </c>
      <c r="AW27" t="str">
        <f>assignmentSQL('Master Table'!AW27,'Master Table'!AW$1,'Master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'Japan'),0,1,0);</v>
      </c>
      <c r="AX27" t="str">
        <f>assignmentSQL('Master Table'!AX27,'Master Table'!AX$1,'Master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'Japan'),0,1,0);</v>
      </c>
      <c r="AY27" t="str">
        <f>assignmentSQL('Master Table'!AY27,'Master Table'!AY$1,'Master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'Japan'),0,1,0);</v>
      </c>
      <c r="AZ27" t="str">
        <f>assignmentSQL('Master Table'!AZ27,'Master Table'!AZ$1,'Master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'Japan'),0,1,0);</v>
      </c>
      <c r="BA27" t="str">
        <f>assignmentSQL('Master Table'!BA27,'Master Table'!BA$1,'Master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'Japan'),0,1,0);INSERT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'Japan'),0,1,0);</v>
      </c>
      <c r="BB27" t="str">
        <f>assignmentSQL('Master Table'!BB27,'Master Table'!BB$1,'Master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'Japan'),0,1,0);INSERT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'Japan'),0,1,0);</v>
      </c>
      <c r="BC27" t="str">
        <f>assignmentSQL('Master Table'!BC27,'Master Table'!BC$1,'Master Table'!$A27,'Master Table'!$B27)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'Japan'),0,1,0);INSERT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'Japan'),0,1,0);</v>
      </c>
      <c r="BD27" t="str">
        <f>assignmentSQL('Master Table'!BD27,'Master Table'!BD$1,'Master Table'!$A27,'Master Table'!$B27)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'Japan'),0,1,0);</v>
      </c>
      <c r="BE27" t="str">
        <f>assignmentSQL('Master Table'!BE27,'Master Table'!BE$1,'Master Table'!$A27,'Master Table'!$B27)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'Japan'),0,1,0);</v>
      </c>
      <c r="BF27" t="str">
        <f>assignmentSQL('Master Table'!BF27,'Master Table'!BF$1,'Master Table'!$A27,'Master Table'!$B27)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'Japan'),0,1,0);</v>
      </c>
      <c r="BG27" t="str">
        <f>assignmentSQL('Master Table'!BG27,'Master Table'!BG$1,'Master Table'!$A27,'Master Table'!$B27)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'Japan'),0,1,0);</v>
      </c>
      <c r="BH27" t="str">
        <f>assignmentSQL('Master Table'!BH27,'Master Table'!BH$1,'Master Table'!$A27,'Master Table'!$B27)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'Japan'),0,1,0);</v>
      </c>
      <c r="BI27" t="str">
        <f>assignmentSQL('Master Table'!BI27,'Master Table'!BI$1,'Master Table'!$A27,'Master Table'!$B27)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'Japan'),0,1,0);</v>
      </c>
      <c r="BJ27" t="str">
        <f>assignmentSQL('Master Table'!BJ27,'Master Table'!BJ$1,'Master Table'!$A27,'Master Table'!$B27)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'Japan'),0,1,0);</v>
      </c>
      <c r="BK27" t="str">
        <f>assignmentSQL('Master Table'!BK27,'Master Table'!BK$1,'Master Table'!$A27,'Master Table'!$B27)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'Japan'),0,1,0);</v>
      </c>
      <c r="BL27" t="str">
        <f>assignmentSQL('Master Table'!BL27,'Master Table'!BL$1,'Master Table'!$A27,'Master Table'!$B27)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'Japan'),0,1,0);</v>
      </c>
    </row>
    <row r="28" spans="3:64" x14ac:dyDescent="0.25">
      <c r="C28" t="str">
        <f>assignmentSQL('Master Table'!C28,'Master Table'!C$1,'Master Table'!$A28,'Master Table'!$B28)</f>
        <v/>
      </c>
      <c r="D28" t="str">
        <f>assignmentSQL('Master Table'!D28,'Master Table'!D$1,'Master Table'!$A28,'Master Table'!$B28)</f>
        <v/>
      </c>
      <c r="E28" t="str">
        <f>assignmentSQL('Master Table'!E28,'Master Table'!E$1,'Master Table'!$A28,'Master Table'!$B28)</f>
        <v/>
      </c>
      <c r="F28" t="str">
        <f>assignmentSQL('Master Table'!F28,'Master Table'!F$1,'Master Table'!$A28,'Master Table'!$B28)</f>
        <v>INSERT INTO Contact_ProductLine_Map (ContactId, ProductLineId, RegionId, IsSales, IsPM, IsUserAdvocate) VALUES ((SELECT ContactId FROM Contact WHERE Name = 'Rupesh Kumar'), (SELECT ProductLineId FROM ProductLine WHERE Name = 'SACS'), (SELECT RegionID FROM Region WHERE Name = 'Japan'),0,0,1);</v>
      </c>
      <c r="G28" t="str">
        <f>assignmentSQL('Master Table'!G28,'Master Table'!G$1,'Master Table'!$A28,'Master Table'!$B28)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'Japan'),0,0,1);</v>
      </c>
      <c r="H28" t="str">
        <f>assignmentSQL('Master Table'!H28,'Master Table'!H$1,'Master Table'!$A28,'Master Table'!$B28)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'Japan'),0,0,1);</v>
      </c>
      <c r="I28" t="str">
        <f>assignmentSQL('Master Table'!I28,'Master Table'!I$1,'Master Table'!$A28,'Master Table'!$B28)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'Japan'),0,0,1);</v>
      </c>
      <c r="J28" t="str">
        <f>assignmentSQL('Master Table'!J28,'Master Table'!J$1,'Master Table'!$A28,'Master Table'!$B28)</f>
        <v>INSERT INTO Contact_ProductLine_Map (ContactId, ProductLineId, RegionId, IsSales, IsPM, IsUserAdvocate) VALUES ((SELECT ContactId FROM Contact WHERE Name = 'Ignacio Almagro'), (SELECT ProductLineId FROM ProductLine WHERE Name = 'LEAP'), (SELECT RegionID FROM Region WHERE Name = 'Japan'),0,0,1);</v>
      </c>
      <c r="K28" t="str">
        <f>assignmentSQL('Master Table'!K28,'Master Table'!K$1,'Master Table'!$A28,'Master Table'!$B28)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'Japan'),0,0,1);</v>
      </c>
      <c r="L28" t="str">
        <f>assignmentSQL('Master Table'!L28,'Master Table'!L$1,'Master Table'!$A28,'Master Table'!$B28)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'Japan'),0,0,1);</v>
      </c>
      <c r="M28" t="str">
        <f>assignmentSQL('Master Table'!M28,'Master Table'!M$1,'Master Table'!$A28,'Master Table'!$B28)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'Japan'),0,0,1);</v>
      </c>
      <c r="N28" t="str">
        <f>assignmentSQL('Master Table'!N28,'Master Table'!N$1,'Master Table'!$A28,'Master Table'!$B28)</f>
        <v>INSERT INTO Contact_ProductLine_Map (ContactId, ProductLineId, RegionId, IsSales, IsPM, IsUserAdvocate) VALUES ((SELECT ContactId FROM Contact WHERE Name = 'Stuart Milne'), (SELECT ProductLineId FROM ProductLine WHERE Name = 'AECOsim Building Designer'), (SELECT RegionID FROM Region WHERE Name = 'Japan'),0,0,1);</v>
      </c>
      <c r="O28" t="str">
        <f>assignmentSQL('Master Table'!O28,'Master Table'!O$1,'Master Table'!$A28,'Master Table'!$B28)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'Japan'),0,0,1);</v>
      </c>
      <c r="P28" t="str">
        <f>assignmentSQL('Master Table'!P28,'Master Table'!P$1,'Master Table'!$A28,'Master Table'!$B28)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'Japan'),0,0,1);</v>
      </c>
      <c r="Q28" t="str">
        <f>assignmentSQL('Master Table'!Q28,'Master Table'!Q$1,'Master Table'!$A28,'Master Table'!$B28)</f>
        <v>INSERT INTO Contact_ProductLine_Map (ContactId, ProductLineId, RegionId, IsSales, IsPM, IsUserAdvocate) VALUES ((SELECT ContactId FROM Contact WHERE Name = 'JaYoung You'), (SELECT ProductLineId FROM ProductLine WHERE Name = 'GEOPAK'), (SELECT RegionID FROM Region WHERE Name = 'Japan'),0,0,1);</v>
      </c>
      <c r="R28" t="str">
        <f>assignmentSQL('Master Table'!R28,'Master Table'!R$1,'Master Table'!$A28,'Master Table'!$B28)</f>
        <v>INSERT INTO Contact_ProductLine_Map (ContactId, ProductLineId, RegionId, IsSales, IsPM, IsUserAdvocate) VALUES ((SELECT ContactId FROM Contact WHERE Name = 'JaYoung You'), (SELECT ProductLineId FROM ProductLine WHERE Name = 'InRoads'), (SELECT RegionID FROM Region WHERE Name = 'Japan'),0,0,1);</v>
      </c>
      <c r="S28" t="str">
        <f>assignmentSQL('Master Table'!S28,'Master Table'!S$1,'Master Table'!$A28,'Master Table'!$B28)</f>
        <v>INSERT INTO Contact_ProductLine_Map (ContactId, ProductLineId, RegionId, IsSales, IsPM, IsUserAdvocate) VALUES ((SELECT ContactId FROM Contact WHERE Name = 'JaYoung You'), (SELECT ProductLineId FROM ProductLine WHERE Name = 'MX'), (SELECT RegionID FROM Region WHERE Name = 'Japan'),0,0,1);</v>
      </c>
      <c r="T28" t="str">
        <f>assignmentSQL('Master Table'!T28,'Master Table'!T$1,'Master Table'!$A28,'Master Table'!$B28)</f>
        <v>INSERT INTO Contact_ProductLine_Map (ContactId, ProductLineId, RegionId, IsSales, IsPM, IsUserAdvocate) VALUES ((SELECT ContactId FROM Contact WHERE Name = 'JaYoung You'), (SELECT ProductLineId FROM ProductLine WHERE Name = 'OpenRail'), (SELECT RegionID FROM Region WHERE Name = 'Japan'),0,0,1);</v>
      </c>
      <c r="U28" t="str">
        <f>assignmentSQL('Master Table'!U28,'Master Table'!U$1,'Master Table'!$A28,'Master Table'!$B28)</f>
        <v/>
      </c>
      <c r="V28" t="str">
        <f>assignmentSQL('Master Table'!V28,'Master Table'!V$1,'Master Table'!$A28,'Master Table'!$B28)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'Japan'),0,0,1);</v>
      </c>
      <c r="W28" t="str">
        <f>assignmentSQL('Master Table'!W28,'Master Table'!W$1,'Master Table'!$A28,'Master Table'!$B28)</f>
        <v>INSERT INTO Contact_ProductLine_Map (ContactId, ProductLineId, RegionId, IsSales, IsPM, IsUserAdvocate) VALUES ((SELECT ContactId FROM Contact WHERE Name = 'JaYoung You'), (SELECT ProductLineId FROM ProductLine WHERE Name = 'gINT'), (SELECT RegionID FROM Region WHERE Name = 'Japan'),0,0,1);</v>
      </c>
      <c r="X28" t="str">
        <f>assignmentSQL('Master Table'!X28,'Master Table'!X$1,'Master Table'!$A28,'Master Table'!$B28)</f>
        <v/>
      </c>
      <c r="Y28" t="str">
        <f>assignmentSQL('Master Table'!Y28,'Master Table'!Y$1,'Master Table'!$A28,'Master Table'!$B28)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'Japan'),0,0,1);</v>
      </c>
      <c r="Z28" t="str">
        <f>assignmentSQL('Master Table'!Z28,'Master Table'!Z$1,'Master Table'!$A28,'Master Table'!$B28)</f>
        <v/>
      </c>
      <c r="AA28" t="str">
        <f>assignmentSQL('Master Table'!AA28,'Master Table'!AA$1,'Master Table'!$A28,'Master Table'!$B28)</f>
        <v/>
      </c>
      <c r="AB28" t="str">
        <f>assignmentSQL('Master Table'!AB28,'Master Table'!AB$1,'Master Table'!$A28,'Master Table'!$B28)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'Japan'),0,0,1);</v>
      </c>
      <c r="AC28" t="str">
        <f>assignmentSQL('Master Table'!AC28,'Master Table'!AC$1,'Master Table'!$A28,'Master Table'!$B28)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'Japan'),0,0,1);</v>
      </c>
      <c r="AD28" t="str">
        <f>assignmentSQL('Master Table'!AD28,'Master Table'!AD$1,'Master Table'!$A28,'Master Table'!$B28)</f>
        <v>INSERT INTO Contact_ProductLine_Map (ContactId, ProductLineId, RegionId, IsSales, IsPM, IsUserAdvocate) VALUES ((SELECT ContactId FROM Contact WHERE Name = 'Felix Zhou'), (SELECT ProductLineId FROM ProductLine WHERE Name = 'Pointools'), (SELECT RegionID FROM Region WHERE Name = 'Japan'),0,0,1);</v>
      </c>
      <c r="AE28" t="str">
        <f>assignmentSQL('Master Table'!AE28,'Master Table'!AE$1,'Master Table'!$A28,'Master Table'!$B28)</f>
        <v>INSERT INTO Contact_ProductLine_Map (ContactId, ProductLineId, RegionId, IsSales, IsPM, IsUserAdvocate) VALUES ((SELECT ContactId FROM Contact WHERE Name = 'Felix Zhou'), (SELECT ProductLineId FROM ProductLine WHERE Name = 'LumenRT'), (SELECT RegionID FROM Region WHERE Name = 'Japan'),0,0,1);</v>
      </c>
      <c r="AF28" t="str">
        <f>assignmentSQL('Master Table'!AF28,'Master Table'!AF$1,'Master Table'!$A28,'Master Table'!$B28)</f>
        <v>INSERT INTO Contact_ProductLine_Map (ContactId, ProductLineId, RegionId, IsSales, IsPM, IsUserAdvocate) VALUES ((SELECT ContactId FROM Contact WHERE Name = 'Felix Zhou'), (SELECT ProductLineId FROM ProductLine WHERE Name = 'ContextCapture'), (SELECT RegionID FROM Region WHERE Name = 'Japan'),0,0,1);</v>
      </c>
      <c r="AG28" t="str">
        <f>assignmentSQL('Master Table'!AG28,'Master Table'!AG$1,'Master Table'!$A28,'Master Table'!$B28)</f>
        <v>INSERT INTO Contact_ProductLine_Map (ContactId, ProductLineId, RegionId, IsSales, IsPM, IsUserAdvocate) VALUES ((SELECT ContactId FROM Contact WHERE Name = 'Felix Zhou'), (SELECT ProductLineId FROM ProductLine WHERE Name = 'Descartes'), (SELECT RegionID FROM Region WHERE Name = 'Japan'),0,0,1);</v>
      </c>
      <c r="AH28" t="str">
        <f>assignmentSQL('Master Table'!AH28,'Master Table'!AH$1,'Master Table'!$A28,'Master Table'!$B28)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'Japan'),0,0,1);</v>
      </c>
      <c r="AI28" t="str">
        <f>assignmentSQL('Master Table'!AI28,'Master Table'!AI$1,'Master Table'!$A28,'Master Table'!$B28)</f>
        <v/>
      </c>
      <c r="AJ28" t="str">
        <f>assignmentSQL('Master Table'!AJ28,'Master Table'!AJ$1,'Master Table'!$A28,'Master Table'!$B28)</f>
        <v>INSERT INTO Contact_ProductLine_Map (ContactId, ProductLineId, RegionId, IsSales, IsPM, IsUserAdvocate) VALUES ((SELECT ContactId FROM Contact WHERE Name = 'Engteck Soon'), (SELECT ProductLineId FROM ProductLine WHERE Name = 'AssetWise'), (SELECT RegionID FROM Region WHERE Name = 'Japan'),0,0,1);</v>
      </c>
      <c r="AK28" t="str">
        <f>assignmentSQL('Master Table'!AK28,'Master Table'!AK$1,'Master Table'!$A28,'Master Table'!$B28)</f>
        <v>INSERT INTO Contact_ProductLine_Map (ContactId, ProductLineId, RegionId, IsSales, IsPM, IsUserAdvocate) VALUES ((SELECT ContactId FROM Contact WHERE Name = 'Engteck Soon'), (SELECT ProductLineId FROM ProductLine WHERE Name = 'AssetWise APM'), (SELECT RegionID FROM Region WHERE Name = 'Japan'),0,0,1);</v>
      </c>
      <c r="AL28" t="str">
        <f>assignmentSQL('Master Table'!AL28,'Master Table'!AL$1,'Master Table'!$A28,'Master Table'!$B28)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'Japan'),0,0,1);</v>
      </c>
      <c r="AM28" t="str">
        <f>assignmentSQL('Master Table'!AM28,'Master Table'!AM$1,'Master Table'!$A28,'Master Table'!$B28)</f>
        <v>INSERT INTO Contact_ProductLine_Map (ContactId, ProductLineId, RegionId, IsSales, IsPM, IsUserAdvocate) VALUES ((SELECT ContactId FROM Contact WHERE Name = 'Linda Oliveira'), (SELECT ProductLineId FROM ProductLine WHERE Name = 'Map'), (SELECT RegionID FROM Region WHERE Name = 'Japan'),0,0,1);</v>
      </c>
      <c r="AN28" t="str">
        <f>assignmentSQL('Master Table'!AN28,'Master Table'!AN$1,'Master Table'!$A28,'Master Table'!$B28)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'Japan'),0,0,1);</v>
      </c>
      <c r="AO28" t="str">
        <f>assignmentSQL('Master Table'!AO28,'Master Table'!AO$1,'Master Table'!$A28,'Master Table'!$B28)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'Japan'),0,0,1);</v>
      </c>
      <c r="AP28" t="str">
        <f>assignmentSQL('Master Table'!AP28,'Master Table'!AP$1,'Master Table'!$A28,'Master Table'!$B28)</f>
        <v>INSERT INTO Contact_ProductLine_Map (ContactId, ProductLineId, RegionId, IsSales, IsPM, IsUserAdvocate) VALUES ((SELECT ContactId FROM Contact WHERE Name = 'MSV Rao'), (SELECT ProductLineId FROM ProductLine WHERE Name = 'Haestad'), (SELECT RegionID FROM Region WHERE Name = 'Japan'),0,0,1);</v>
      </c>
      <c r="AQ28" t="str">
        <f>assignmentSQL('Master Table'!AQ28,'Master Table'!AQ$1,'Master Table'!$A28,'Master Table'!$B28)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'Japan'),0,0,1);</v>
      </c>
      <c r="AR28" t="str">
        <f>assignmentSQL('Master Table'!AR28,'Master Table'!AR$1,'Master Table'!$A28,'Master Table'!$B28)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'Japan'),0,0,1);</v>
      </c>
      <c r="AS28" t="str">
        <f>assignmentSQL('Master Table'!AS28,'Master Table'!AS$1,'Master Table'!$A28,'Master Table'!$B28)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'Japan'),0,0,1);</v>
      </c>
      <c r="AT28" t="str">
        <f>assignmentSQL('Master Table'!AT28,'Master Table'!AT$1,'Master Table'!$A28,'Master Table'!$B28)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'Japan'),0,0,1);</v>
      </c>
      <c r="AU28" t="str">
        <f>assignmentSQL('Master Table'!AU28,'Master Table'!AU$1,'Master Table'!$A28,'Master Table'!$B28)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'Japan'),0,0,1);</v>
      </c>
      <c r="AV28" t="str">
        <f>assignmentSQL('Master Table'!AV28,'Master Table'!AV$1,'Master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Design Integration'), (SELECT RegionID FROM Region WHERE Name = 'Japan'),0,0,1);</v>
      </c>
      <c r="AW28" t="str">
        <f>assignmentSQL('Master Table'!AW28,'Master Table'!AW$1,'Master Table'!$A28,'Master Table'!$B28)</f>
        <v>INSERT INTO Contact_ProductLine_Map (ContactId, ProductLineId, RegionId, IsSales, IsPM, IsUserAdvocate) VALUES ((SELECT ContactId FROM Contact WHERE Name = 'Ranveer Basra'), (SELECT ProductLineId FROM ProductLine WHERE Name = 'ProjectWise Issues Resolution'), (SELECT RegionID FROM Region WHERE Name = 'Japan'),0,0,1);</v>
      </c>
      <c r="AX28" t="str">
        <f>assignmentSQL('Master Table'!AX28,'Master Table'!AX$1,'Master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Explorer Civil 3D Integration Module'), (SELECT RegionID FROM Region WHERE Name = 'Japan'),0,0,1);</v>
      </c>
      <c r="AY28" t="str">
        <f>assignmentSQL('Master Table'!AY28,'Master Table'!AY$1,'Master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Explorer Revit Integration Module'), (SELECT RegionID FROM Region WHERE Name = 'Japan'),0,0,1);</v>
      </c>
      <c r="AZ28" t="str">
        <f>assignmentSQL('Master Table'!AZ28,'Master Table'!AZ$1,'Master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Explorer Office Integration Module'), (SELECT RegionID FROM Region WHERE Name = 'Japan'),0,0,1);</v>
      </c>
      <c r="BA28" t="str">
        <f>assignmentSQL('Master Table'!BA28,'Master Table'!BA$1,'Master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Edge Mobile'), (SELECT RegionID FROM Region WHERE Name = 'Japan'),0,0,1);</v>
      </c>
      <c r="BB28" t="str">
        <f>assignmentSQL('Master Table'!BB28,'Master Table'!BB$1,'Master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WorkSite'), (SELECT RegionID FROM Region WHERE Name = 'Japan'),0,0,1);</v>
      </c>
      <c r="BC28" t="str">
        <f>assignmentSQL('Master Table'!BC28,'Master Table'!BC$1,'Master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Edge'), (SELECT RegionID FROM Region WHERE Name = 'Japan'),0,0,1);</v>
      </c>
      <c r="BD28" t="str">
        <f>assignmentSQL('Master Table'!BD28,'Master Table'!BD$1,'Master Table'!$A28,'Master Table'!$B28)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'Japan'),0,0,1);</v>
      </c>
      <c r="BE28" t="str">
        <f>assignmentSQL('Master Table'!BE28,'Master Table'!BE$1,'Master Table'!$A28,'Master Table'!$B28)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'Japan'),0,0,1);</v>
      </c>
      <c r="BF28" t="str">
        <f>assignmentSQL('Master Table'!BF28,'Master Table'!BF$1,'Master Table'!$A28,'Master Table'!$B28)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'Japan'),0,0,1);</v>
      </c>
      <c r="BG28" t="str">
        <f>assignmentSQL('Master Table'!BG28,'Master Table'!BG$1,'Master Table'!$A28,'Master Table'!$B28)</f>
        <v>INSERT INTO Contact_ProductLine_Map (ContactId, ProductLineId, RegionId, IsSales, IsPM, IsUserAdvocate) VALUES ((SELECT ContactId FROM Contact WHERE Name = 'Molly Watts'), (SELECT ProductLineId FROM ProductLine WHERE Name = 'Deliverables Management'), (SELECT RegionID FROM Region WHERE Name = 'Japan'),0,0,1);</v>
      </c>
      <c r="BH28" t="str">
        <f>assignmentSQL('Master Table'!BH28,'Master Table'!BH$1,'Master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'Japan'),0,0,1);</v>
      </c>
      <c r="BI28" t="str">
        <f>assignmentSQL('Master Table'!BI28,'Master Table'!BI$1,'Master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"Field Data Management'), (SELECT RegionID FROM Region WHERE Name = 'Japan'),0,0,1);</v>
      </c>
      <c r="BJ28" t="str">
        <f>assignmentSQL('Master Table'!BJ28,'Master Table'!BJ$1,'Master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'Japan'),0,0,1);</v>
      </c>
      <c r="BK28" t="str">
        <f>assignmentSQL('Master Table'!BK28,'Master Table'!BK$1,'Master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InterPlot Server and Interplot Organizer'), (SELECT RegionID FROM Region WHERE Name = 'Japan'),0,0,1);</v>
      </c>
      <c r="BL28" t="str">
        <f>assignmentSQL('Master Table'!BL28,'Master Table'!BL$1,'Master Table'!$A28,'Master Table'!$B28)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i-models'), (SELECT RegionID FROM Region WHERE Name = 'Japan'),0,0,1);</v>
      </c>
    </row>
    <row r="29" spans="3:64" x14ac:dyDescent="0.25">
      <c r="C29" t="str">
        <f>assignmentSQL('Master Table'!C29,'Master Table'!C$1,'Master Table'!$A29,'Master Table'!$B29)</f>
        <v>INSERT INTO Contact_ProductLine_Map (ContactId, ProductLineId, RegionId, IsSales, IsPM, IsUserAdvocate) VALUES ((SELECT ContactId FROM Contact WHERE Name = 'Jenn Metzler'), (SELECT ProductLineId FROM ProductLine WHERE Name = 'STAAD'), (SELECT RegionID FROM Region WHERE Name = 'LA'),1,0,0);</v>
      </c>
      <c r="D29" t="str">
        <f>assignmentSQL('Master Table'!D29,'Master Table'!D$1,'Master Table'!$A29,'Master Table'!$B29)</f>
        <v>INSERT INTO Contact_ProductLine_Map (ContactId, ProductLineId, RegionId, IsSales, IsPM, IsUserAdvocate) VALUES ((SELECT ContactId FROM Contact WHERE Name = 'Jenn Metzler'), (SELECT ProductLineId FROM ProductLine WHERE Name = 'RAM'), (SELECT RegionID FROM Region WHERE Name = 'LA'),1,0,0);</v>
      </c>
      <c r="E29" t="str">
        <f>assignmentSQL('Master Table'!E29,'Master Table'!E$1,'Master Table'!$A29,'Master Table'!$B29)</f>
        <v>INSERT INTO Contact_ProductLine_Map (ContactId, ProductLineId, RegionId, IsSales, IsPM, IsUserAdvocate) VALUES ((SELECT ContactId FROM Contact WHERE Name = 'Fabian Folgar'), (SELECT ProductLineId FROM ProductLine WHERE Name = 'AUTOPIPE'), (SELECT RegionID FROM Region WHERE Name = 'LA'),1,0,0);</v>
      </c>
      <c r="F29" t="str">
        <f>assignmentSQL('Master Table'!F29,'Master Table'!F$1,'Master Table'!$A29,'Master Table'!$B29)</f>
        <v>INSERT INTO Contact_ProductLine_Map (ContactId, ProductLineId, RegionId, IsSales, IsPM, IsUserAdvocate) VALUES ((SELECT ContactId FROM Contact WHERE Name = 'Jenn Metzler'), (SELECT ProductLineId FROM ProductLine WHERE Name = 'SACS'), (SELECT RegionID FROM Region WHERE Name = 'LA'),1,0,0);</v>
      </c>
      <c r="G29" t="str">
        <f>assignmentSQL('Master Table'!G29,'Master Table'!G$1,'Master Table'!$A29,'Master Table'!$B29)</f>
        <v>INSERT INTO Contact_ProductLine_Map (ContactId, ProductLineId, RegionId, IsSales, IsPM, IsUserAdvocate) VALUES ((SELECT ContactId FROM Contact WHERE Name = 'Jenn Metzler'), (SELECT ProductLineId FROM ProductLine WHERE Name = 'MAXSURF'), (SELECT RegionID FROM Region WHERE Name = 'LA'),1,0,0);</v>
      </c>
      <c r="H29" t="str">
        <f>assignmentSQL('Master Table'!H29,'Master Table'!H$1,'Master Table'!$A29,'Master Table'!$B29)</f>
        <v>INSERT INTO Contact_ProductLine_Map (ContactId, ProductLineId, RegionId, IsSales, IsPM, IsUserAdvocate) VALUES ((SELECT ContactId FROM Contact WHERE Name = 'Jenn Metzler'), (SELECT ProductLineId FROM ProductLine WHERE Name = 'MOSES'), (SELECT RegionID FROM Region WHERE Name = 'LA'),1,0,0);</v>
      </c>
      <c r="I29" t="str">
        <f>assignmentSQL('Master Table'!I29,'Master Table'!I$1,'Master Table'!$A29,'Master Table'!$B29)</f>
        <v/>
      </c>
      <c r="J29" t="str">
        <f>assignmentSQL('Master Table'!J29,'Master Table'!J$1,'Master Table'!$A29,'Master Table'!$B29)</f>
        <v/>
      </c>
      <c r="K29" t="str">
        <f>assignmentSQL('Master Table'!K29,'Master Table'!K$1,'Master Table'!$A29,'Master Table'!$B29)</f>
        <v/>
      </c>
      <c r="L29" t="str">
        <f>assignmentSQL('Master Table'!L29,'Master Table'!L$1,'Master Table'!$A29,'Master Table'!$B29)</f>
        <v/>
      </c>
      <c r="M29" t="str">
        <f>assignmentSQL('Master Table'!M29,'Master Table'!M$1,'Master Table'!$A29,'Master Table'!$B29)</f>
        <v/>
      </c>
      <c r="N29" t="str">
        <f>assignmentSQL('Master Table'!N29,'Master Table'!N$1,'Master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'AECOsim Building Designer'),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'AECOsim Building Designer'),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'AECOsim Building Designer'), (SELECT RegionID FROM Region WHERE Name = 'LA'),1,0,0);</v>
      </c>
      <c r="O29" t="str">
        <f>assignmentSQL('Master Table'!O29,'Master Table'!O$1,'Master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'speedikon'),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'speedikon'),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'speedikon'), (SELECT RegionID FROM Region WHERE Name = 'LA'),1,0,0);</v>
      </c>
      <c r="P29" t="str">
        <f>assignmentSQL('Master Table'!P29,'Master Table'!P$1,'Master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'Hevacomp'),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'Hevacomp'),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'Hevacomp'), (SELECT RegionID FROM Region WHERE Name = 'LA'),1,0,0);</v>
      </c>
      <c r="Q29" t="str">
        <f>assignmentSQL('Master Table'!Q29,'Master Table'!Q$1,'Master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'GEOPAK'),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'GEOPAK'),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'GEOPAK'), (SELECT RegionID FROM Region WHERE Name = 'LA'),1,0,0);</v>
      </c>
      <c r="R29" t="str">
        <f>assignmentSQL('Master Table'!R29,'Master Table'!R$1,'Master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'InRoads'),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'InRoads'),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'InRoads'), (SELECT RegionID FROM Region WHERE Name = 'LA'),1,0,0);</v>
      </c>
      <c r="S29" t="str">
        <f>assignmentSQL('Master Table'!S29,'Master Table'!S$1,'Master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'MX'),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'MX'),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'MX'), (SELECT RegionID FROM Region WHERE Name = 'LA'),1,0,0);</v>
      </c>
      <c r="T29" t="str">
        <f>assignmentSQL('Master Table'!T29,'Master Table'!T$1,'Master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'OpenRail'),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'OpenRail'),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'OpenRail'), (SELECT RegionID FROM Region WHERE Name = 'LA'),1,0,0);</v>
      </c>
      <c r="U29" t="str">
        <f>assignmentSQL('Master Table'!U29,'Master Table'!U$1,'Master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'OpenRoads'),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'OpenRoads'),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'OpenRoads'), (SELECT RegionID FROM Region WHERE Name = 'LA'),1,0,0);</v>
      </c>
      <c r="V29" t="str">
        <f>assignmentSQL('Master Table'!V29,'Master Table'!V$1,'Master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'ConceptStation'),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'ConceptStation'),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'ConceptStation'), (SELECT RegionID FROM Region WHERE Name = 'LA'),1,0,0);</v>
      </c>
      <c r="W29" t="str">
        <f>assignmentSQL('Master Table'!W29,'Master Table'!W$1,'Master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'gINT'),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'gINT'),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'gINT'), (SELECT RegionID FROM Region WHERE Name = 'LA'),1,0,0);</v>
      </c>
      <c r="X29" t="str">
        <f>assignmentSQL('Master Table'!X29,'Master Table'!X$1,'Master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'AutoPLANT'),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'AutoPLANT'),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'AutoPLANT'), (SELECT RegionID FROM Region WHERE Name = 'LA'),1,0,0);</v>
      </c>
      <c r="Y29" t="str">
        <f>assignmentSQL('Master Table'!Y29,'Master Table'!Y$1,'Master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'AXSYS'),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'AXSYS'),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'AXSYS'), (SELECT RegionID FROM Region WHERE Name = 'LA'),1,0,0);</v>
      </c>
      <c r="Z29" t="str">
        <f>assignmentSQL('Master Table'!Z29,'Master Table'!Z$1,'Master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'OpenPlant'),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'OpenPlant'),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'OpenPlant'), (SELECT RegionID FROM Region WHERE Name = 'LA'),1,0,0);</v>
      </c>
      <c r="AA29" t="str">
        <f>assignmentSQL('Master Table'!AA29,'Master Table'!AA$1,'Master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'PlantSpace'),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'PlantSpace'),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'PlantSpace'), (SELECT RegionID FROM Region WHERE Name = 'LA'),1,0,0);</v>
      </c>
      <c r="AB29" t="str">
        <f>assignmentSQL('Master Table'!AB29,'Master Table'!AB$1,'Master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'MineCycle'),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'MineCycle'),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'MineCycle'), (SELECT RegionID FROM Region WHERE Name = 'LA'),1,0,0);</v>
      </c>
      <c r="AC29" t="str">
        <f>assignmentSQL('Master Table'!AC29,'Master Table'!AC$1,'Master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'Plantwise'),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'Plantwise'),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'Plantwise'), (SELECT RegionID FROM Region WHERE Name = 'LA'),1,0,0);</v>
      </c>
      <c r="AD29" t="str">
        <f>assignmentSQL('Master Table'!AD29,'Master Table'!AD$1,'Master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'Pointools'),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'Pointools'),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'Pointools'), (SELECT RegionID FROM Region WHERE Name = 'LA'),1,0,0);</v>
      </c>
      <c r="AE29" t="str">
        <f>assignmentSQL('Master Table'!AE29,'Master Table'!AE$1,'Master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'LumenRT'),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'LumenRT'),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'LumenRT'), (SELECT RegionID FROM Region WHERE Name = 'LA'),1,0,0);</v>
      </c>
      <c r="AF29" t="str">
        <f>assignmentSQL('Master Table'!AF29,'Master Table'!AF$1,'Master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'ContextCapture'),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'ContextCapture'),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'ContextCapture'), (SELECT RegionID FROM Region WHERE Name = 'LA'),1,0,0);</v>
      </c>
      <c r="AG29" t="str">
        <f>assignmentSQL('Master Table'!AG29,'Master Table'!AG$1,'Master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'Descartes'),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'Descartes'),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'Descartes'), (SELECT RegionID FROM Region WHERE Name = 'LA'),1,0,0);</v>
      </c>
      <c r="AH29" t="str">
        <f>assignmentSQL('Master Table'!AH29,'Master Table'!AH$1,'Master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'ProStructures'),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'ProStructures'),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'ProStructures'), (SELECT RegionID FROM Region WHERE Name = 'LA'),1,0,0);</v>
      </c>
      <c r="AI29" t="str">
        <f>assignmentSQL('Master Table'!AI29,'Master Table'!AI$1,'Master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'promis*e'), (SELECT RegionID FROM Region WHERE Name = 'LA'),1,0,0);INSERT INTO Contact_ProductLine_Map (ContactId, ProductLineId, RegionId, IsSales, IsPM, IsUserAdvocate) VALUES ((SELECT ContactId FROM Contact WHERE Name = 'Martin Chavez'), (SELECT ProductLineId FROM ProductLine WHERE Name = 'promis*e'), (SELECT RegionID FROM Region WHERE Name = 'LA'),1,0,0);INSERT INTO Contact_ProductLine_Map (ContactId, ProductLineId, RegionId, IsSales, IsPM, IsUserAdvocate) VALUES ((SELECT ContactId FROM Contact WHERE Name = 'Tiago Sathler'), (SELECT ProductLineId FROM ProductLine WHERE Name = 'promis*e'), (SELECT RegionID FROM Region WHERE Name = 'LA'),1,0,0);</v>
      </c>
      <c r="AJ29" t="str">
        <f>assignmentSQL('Master Table'!AJ29,'Master Table'!AJ$1,'Master Table'!$A29,'Master Table'!$B29)</f>
        <v>INSERT INTO Contact_ProductLine_Map (ContactId, ProductLineId, RegionId, IsSales, IsPM, IsUserAdvocate) VALUES ((SELECT ContactId FROM Contact WHERE Name = 'George Castle'), (SELECT ProductLineId FROM ProductLine WHERE Name = 'AssetWise'), (SELECT RegionID FROM Region WHERE Name = 'LA'),1,0,0);</v>
      </c>
      <c r="AK29" t="str">
        <f>assignmentSQL('Master Table'!AK29,'Master Table'!AK$1,'Master Table'!$A29,'Master Table'!$B29)</f>
        <v>INSERT INTO Contact_ProductLine_Map (ContactId, ProductLineId, RegionId, IsSales, IsPM, IsUserAdvocate) VALUES ((SELECT ContactId FROM Contact WHERE Name = 'George Castle'), (SELECT ProductLineId FROM ProductLine WHERE Name = 'AssetWise APM'), (SELECT RegionID FROM Region WHERE Name = 'LA'),1,0,0);</v>
      </c>
      <c r="AL29" t="str">
        <f>assignmentSQL('Master Table'!AL29,'Master Table'!AL$1,'Master Table'!$A29,'Master Table'!$B29)</f>
        <v>INSERT INTO Contact_ProductLine_Map (ContactId, ProductLineId, RegionId, IsSales, IsPM, IsUserAdvocate) VALUES ((SELECT ContactId FROM Contact WHERE Name = 'Jim Lucas'), (SELECT ProductLineId FROM ProductLine WHERE Name = 'OpenUtilities'), (SELECT RegionID FROM Region WHERE Name = 'LA'),1,0,0);INSERT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'LA'),1,0,0);</v>
      </c>
      <c r="AM29" t="str">
        <f>assignmentSQL('Master Table'!AM29,'Master Table'!AM$1,'Master Table'!$A29,'Master Table'!$B29)</f>
        <v>INSERT INTO Contact_ProductLine_Map (ContactId, ProductLineId, RegionId, IsSales, IsPM, IsUserAdvocate) VALUES ((SELECT ContactId FROM Contact WHERE Name = 'Juan Carlos Gutierrez'), (SELECT ProductLineId FROM ProductLine WHERE Name = 'Map'), (SELECT RegionID FROM Region WHERE Name = 'LA'),1,0,0);INSERT INTO Contact_ProductLine_Map (ContactId, ProductLineId, RegionId, IsSales, IsPM, IsUserAdvocate) VALUES ((SELECT ContactId FROM Contact WHERE Name = 'Aline De Souza'), (SELECT ProductLineId FROM ProductLine WHERE Name = 'Map'), (SELECT RegionID FROM Region WHERE Name = 'LA'),1,0,0);</v>
      </c>
      <c r="AN29" t="str">
        <f>assignmentSQL('Master Table'!AN29,'Master Table'!AN$1,'Master Table'!$A29,'Master Table'!$B29)</f>
        <v>INSERT INTO Contact_ProductLine_Map (ContactId, ProductLineId, RegionId, IsSales, IsPM, IsUserAdvocate) VALUES ((SELECT ContactId FROM Contact WHERE Name = 'Jim Lucas'), (SELECT ProductLineId FROM ProductLine WHERE Name = 'OpenComms'), (SELECT RegionID FROM Region WHERE Name = 'LA'),1,0,0);INSERT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'LA'),1,0,0);</v>
      </c>
      <c r="AO29" t="str">
        <f>assignmentSQL('Master Table'!AO29,'Master Table'!AO$1,'Master Table'!$A29,'Master Table'!$B29)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'LA'),1,0,0);INSERT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'LA'),1,0,0);</v>
      </c>
      <c r="AP29" t="str">
        <f>assignmentSQL('Master Table'!AP29,'Master Table'!AP$1,'Master Table'!$A29,'Master Table'!$B29)</f>
        <v>INSERT INTO Contact_ProductLine_Map (ContactId, ProductLineId, RegionId, IsSales, IsPM, IsUserAdvocate) VALUES ((SELECT ContactId FROM Contact WHERE Name = 'Juan Carlos Gutierrez'), (SELECT ProductLineId FROM ProductLine WHERE Name = 'Haestad'), (SELECT RegionID FROM Region WHERE Name = 'LA'),1,0,0);INSERT INTO Contact_ProductLine_Map (ContactId, ProductLineId, RegionId, IsSales, IsPM, IsUserAdvocate) VALUES ((SELECT ContactId FROM Contact WHERE Name = 'Aline De Souza'), (SELECT ProductLineId FROM ProductLine WHERE Name = 'Haestad'), (SELECT RegionID FROM Region WHERE Name = 'LA'),1,0,0);</v>
      </c>
      <c r="AQ29" t="str">
        <f>assignmentSQL('Master Table'!AQ29,'Master Table'!AQ$1,'Master Table'!$A29,'Master Table'!$B29)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'LA'),1,0,0);INSERT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'LA'),1,0,0);</v>
      </c>
      <c r="AR29" t="str">
        <f>assignmentSQL('Master Table'!AR29,'Master Table'!AR$1,'Master Table'!$A29,'Master Table'!$B29)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'LA'),1,0,0);</v>
      </c>
      <c r="AS29" t="str">
        <f>assignmentSQL('Master Table'!AS29,'Master Table'!AS$1,'Master Table'!$A29,'Master Table'!$B29)</f>
        <v>INSERT INTO Contact_ProductLine_Map (ContactId, ProductLineId, RegionId, IsSales, IsPM, IsUserAdvocate) VALUES ((SELECT ContactId FROM Contact WHERE Name = 'George Castle'), (SELECT ProductLineId FROM ProductLine WHERE Name = 'Amulet'), (SELECT RegionID FROM Region WHERE Name = 'LA'),1,0,0);</v>
      </c>
      <c r="AT29" t="str">
        <f>assignmentSQL('Master Table'!AT29,'Master Table'!AT$1,'Master Table'!$A29,'Master Table'!$B29)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'LA'),1,0,0);</v>
      </c>
      <c r="AU29" t="str">
        <f>assignmentSQL('Master Table'!AU29,'Master Table'!AU$1,'Master Table'!$A29,'Master Table'!$B29)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'LA'),1,0,0);</v>
      </c>
      <c r="AV29" t="str">
        <f>assignmentSQL('Master Table'!AV29,'Master Table'!AV$1,'Master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Design Integration'), (SELECT RegionID FROM Region WHERE Name = 'LA'),1,0,0);</v>
      </c>
      <c r="AW29" t="str">
        <f>assignmentSQL('Master Table'!AW29,'Master Table'!AW$1,'Master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Issues Resolution'), (SELECT RegionID FROM Region WHERE Name = 'LA'),1,0,0);</v>
      </c>
      <c r="AX29" t="str">
        <f>assignmentSQL('Master Table'!AX29,'Master Table'!AX$1,'Master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Explorer Civil 3D Integration Module'), (SELECT RegionID FROM Region WHERE Name = 'LA'),1,0,0);</v>
      </c>
      <c r="AY29" t="str">
        <f>assignmentSQL('Master Table'!AY29,'Master Table'!AY$1,'Master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Explorer Revit Integration Module'), (SELECT RegionID FROM Region WHERE Name = 'LA'),1,0,0);</v>
      </c>
      <c r="AZ29" t="str">
        <f>assignmentSQL('Master Table'!AZ29,'Master Table'!AZ$1,'Master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Explorer Office Integration Module'), (SELECT RegionID FROM Region WHERE Name = 'LA'),1,0,0);</v>
      </c>
      <c r="BA29" t="str">
        <f>assignmentSQL('Master Table'!BA29,'Master Table'!BA$1,'Master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Edge Mobile'), (SELECT RegionID FROM Region WHERE Name = 'LA'),1,0,0);</v>
      </c>
      <c r="BB29" t="str">
        <f>assignmentSQL('Master Table'!BB29,'Master Table'!BB$1,'Master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WorkSite'), (SELECT RegionID FROM Region WHERE Name = 'LA'),1,0,0);</v>
      </c>
      <c r="BC29" t="str">
        <f>assignmentSQL('Master Table'!BC29,'Master Table'!BC$1,'Master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Edge'), (SELECT RegionID FROM Region WHERE Name = 'LA'),1,0,0);</v>
      </c>
      <c r="BD29" t="str">
        <f>assignmentSQL('Master Table'!BD29,'Master Table'!BD$1,'Master Table'!$A29,'Master Table'!$B29)</f>
        <v>INSERT INTO Contact_ProductLine_Map (ContactId, ProductLineId, RegionId, IsSales, IsPM, IsUserAdvocate) VALUES ((SELECT ContactId FROM Contact WHERE Name = 'Fabian Folgar'), (SELECT ProductLineId FROM ProductLine WHERE Name = 'Navigator CE'), (SELECT RegionID FROM Region WHERE Name = 'LA'),1,0,0);INSERT INTO Contact_ProductLine_Map (ContactId, ProductLineId, RegionId, IsSales, IsPM, IsUserAdvocate) VALUES ((SELECT ContactId FROM Contact WHERE Name = 'Vince DeFlavia'), (SELECT ProductLineId FROM ProductLine WHERE Name = 'Navigator CE'), (SELECT RegionID FROM Region WHERE Name = 'LA'),1,0,0);</v>
      </c>
      <c r="BE29" t="str">
        <f>assignmentSQL('Master Table'!BE29,'Master Table'!BE$1,'Master Table'!$A29,'Master Table'!$B29)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'LA'),1,0,0);</v>
      </c>
      <c r="BF29" t="str">
        <f>assignmentSQL('Master Table'!BF29,'Master Table'!BF$1,'Master Table'!$A29,'Master Table'!$B29)</f>
        <v>INSERT INTO Contact_ProductLine_Map (ContactId, ProductLineId, RegionId, IsSales, IsPM, IsUserAdvocate) VALUES ((SELECT ContactId FROM Contact WHERE Name = 'Diego Gimenes'), (SELECT ProductLineId FROM ProductLine WHERE Name = 'EADOC UI Upgrade'), (SELECT RegionID FROM Region WHERE Name = 'LA'),1,0,0);</v>
      </c>
      <c r="BG29" t="str">
        <f>assignmentSQL('Master Table'!BG29,'Master Table'!BG$1,'Master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'Deliverables Management'), (SELECT RegionID FROM Region WHERE Name = 'LA'),1,0,0);</v>
      </c>
      <c r="BH29" t="str">
        <f>assignmentSQL('Master Table'!BH29,'Master Table'!BH$1,'Master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'Bentley Automation Service CONNECT Edition'), (SELECT RegionID FROM Region WHERE Name = 'LA'),1,0,0);</v>
      </c>
      <c r="BI29" t="str">
        <f>assignmentSQL('Master Table'!BI29,'Master Table'!BI$1,'Master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"Field Data Management'), (SELECT RegionID FROM Region WHERE Name = 'LA'),1,0,0);</v>
      </c>
      <c r="BJ29" t="str">
        <f>assignmentSQL('Master Table'!BJ29,'Master Table'!BJ$1,'Master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i-model Composition Server for PDF'), (SELECT RegionID FROM Region WHERE Name = 'LA'),1,0,0);</v>
      </c>
      <c r="BK29" t="str">
        <f>assignmentSQL('Master Table'!BK29,'Master Table'!BK$1,'Master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InterPlot Server and Interplot Organizer'), (SELECT RegionID FROM Region WHERE Name = 'LA'),1,0,0);</v>
      </c>
      <c r="BL29" t="str">
        <f>assignmentSQL('Master Table'!BL29,'Master Table'!BL$1,'Master Table'!$A29,'Master Table'!$B29)</f>
        <v>INSERT INTO Contact_ProductLine_Map (ContactId, ProductLineId, RegionId, IsSales, IsPM, IsUserAdvocate) VALUES ((SELECT ContactId FROM Contact WHERE Name = 'Tom Atkinson'), (SELECT ProductLineId FROM ProductLine WHERE Name = 'ProjectWise i-model Composition Server for i-models'), (SELECT RegionID FROM Region WHERE Name = 'LA'),1,0,0);</v>
      </c>
    </row>
    <row r="30" spans="3:64" x14ac:dyDescent="0.25">
      <c r="C30" t="str">
        <f>assignmentSQL('Master Table'!C30,'Master Table'!C$1,'Master Table'!$A30,'Master Table'!$B30)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'LA'),0,1,0);</v>
      </c>
      <c r="D30" t="str">
        <f>assignmentSQL('Master Table'!D30,'Master Table'!D$1,'Master Table'!$A30,'Master Table'!$B30)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'LA'),0,1,0);</v>
      </c>
      <c r="E30" t="str">
        <f>assignmentSQL('Master Table'!E30,'Master Table'!E$1,'Master Table'!$A30,'Master Table'!$B30)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'LA'),0,1,0);INSERT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'LA'),0,1,0);</v>
      </c>
      <c r="F30" t="str">
        <f>assignmentSQL('Master Table'!F30,'Master Table'!F$1,'Master Table'!$A30,'Master Table'!$B30)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'LA'),0,1,0);</v>
      </c>
      <c r="G30" t="str">
        <f>assignmentSQL('Master Table'!G30,'Master Table'!G$1,'Master Table'!$A30,'Master Table'!$B30)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'LA'),0,1,0);</v>
      </c>
      <c r="H30" t="str">
        <f>assignmentSQL('Master Table'!H30,'Master Table'!H$1,'Master Table'!$A30,'Master Table'!$B30)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'LA'),0,1,0);</v>
      </c>
      <c r="I30" t="str">
        <f>assignmentSQL('Master Table'!I30,'Master Table'!I$1,'Master Table'!$A30,'Master Table'!$B30)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'LA'),0,1,0);</v>
      </c>
      <c r="J30" t="str">
        <f>assignmentSQL('Master Table'!J30,'Master Table'!J$1,'Master Table'!$A30,'Master Table'!$B30)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'LA'),0,1,0);</v>
      </c>
      <c r="K30" t="str">
        <f>assignmentSQL('Master Table'!K30,'Master Table'!K$1,'Master Table'!$A30,'Master Table'!$B30)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'LA'),0,1,0);</v>
      </c>
      <c r="L30" t="str">
        <f>assignmentSQL('Master Table'!L30,'Master Table'!L$1,'Master Table'!$A30,'Master Table'!$B30)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'LA'),0,1,0);</v>
      </c>
      <c r="M30" t="str">
        <f>assignmentSQL('Master Table'!M30,'Master Table'!M$1,'Master Table'!$A30,'Master Table'!$B30)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'LA'),0,1,0);</v>
      </c>
      <c r="N30" t="str">
        <f>assignmentSQL('Master Table'!N30,'Master Table'!N$1,'Master Table'!$A30,'Master Table'!$B30)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'LA'),0,1,0);</v>
      </c>
      <c r="O30" t="str">
        <f>assignmentSQL('Master Table'!O30,'Master Table'!O$1,'Master Table'!$A30,'Master Table'!$B30)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'LA'),0,1,0);</v>
      </c>
      <c r="P30" t="str">
        <f>assignmentSQL('Master Table'!P30,'Master Table'!P$1,'Master Table'!$A30,'Master Table'!$B30)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'LA'),0,1,0);</v>
      </c>
      <c r="Q30" t="str">
        <f>assignmentSQL('Master Table'!Q30,'Master Table'!Q$1,'Master Table'!$A30,'Master Table'!$B30)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'LA'),0,1,0);</v>
      </c>
      <c r="R30" t="str">
        <f>assignmentSQL('Master Table'!R30,'Master Table'!R$1,'Master Table'!$A30,'Master Table'!$B30)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'LA'),0,1,0);</v>
      </c>
      <c r="S30" t="str">
        <f>assignmentSQL('Master Table'!S30,'Master Table'!S$1,'Master Table'!$A30,'Master Table'!$B30)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'LA'),0,1,0);</v>
      </c>
      <c r="T30" t="str">
        <f>assignmentSQL('Master Table'!T30,'Master Table'!T$1,'Master Table'!$A30,'Master Table'!$B30)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'LA'),0,1,0);</v>
      </c>
      <c r="U30" t="str">
        <f>assignmentSQL('Master Table'!U30,'Master Table'!U$1,'Master Table'!$A30,'Master Table'!$B30)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'LA'),0,1,0);</v>
      </c>
      <c r="V30" t="str">
        <f>assignmentSQL('Master Table'!V30,'Master Table'!V$1,'Master Table'!$A30,'Master Table'!$B30)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'LA'),0,1,0);</v>
      </c>
      <c r="W30" t="str">
        <f>assignmentSQL('Master Table'!W30,'Master Table'!W$1,'Master Table'!$A30,'Master Table'!$B30)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'LA'),0,1,0);</v>
      </c>
      <c r="X30" t="str">
        <f>assignmentSQL('Master Table'!X30,'Master Table'!X$1,'Master Table'!$A30,'Master Table'!$B30)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'LA'),0,1,0);</v>
      </c>
      <c r="Y30" t="str">
        <f>assignmentSQL('Master Table'!Y30,'Master Table'!Y$1,'Master Table'!$A30,'Master Table'!$B30)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'LA'),0,1,0);</v>
      </c>
      <c r="Z30" t="str">
        <f>assignmentSQL('Master Table'!Z30,'Master Table'!Z$1,'Master Table'!$A30,'Master Table'!$B30)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'LA'),0,1,0);</v>
      </c>
      <c r="AA30" t="str">
        <f>assignmentSQL('Master Table'!AA30,'Master Table'!AA$1,'Master Table'!$A30,'Master Table'!$B30)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'LA'),0,1,0);</v>
      </c>
      <c r="AB30" t="str">
        <f>assignmentSQL('Master Table'!AB30,'Master Table'!AB$1,'Master Table'!$A30,'Master Table'!$B30)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'LA'),0,1,0);</v>
      </c>
      <c r="AC30" t="str">
        <f>assignmentSQL('Master Table'!AC30,'Master Table'!AC$1,'Master Table'!$A30,'Master Table'!$B30)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'LA'),0,1,0);</v>
      </c>
      <c r="AD30" t="str">
        <f>assignmentSQL('Master Table'!AD30,'Master Table'!AD$1,'Master Table'!$A30,'Master Table'!$B30)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'LA'),0,1,0);</v>
      </c>
      <c r="AE30" t="str">
        <f>assignmentSQL('Master Table'!AE30,'Master Table'!AE$1,'Master Table'!$A30,'Master Table'!$B30)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'LA'),0,1,0);</v>
      </c>
      <c r="AF30" t="str">
        <f>assignmentSQL('Master Table'!AF30,'Master Table'!AF$1,'Master Table'!$A30,'Master Table'!$B30)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'LA'),0,1,0);</v>
      </c>
      <c r="AG30" t="str">
        <f>assignmentSQL('Master Table'!AG30,'Master Table'!AG$1,'Master Table'!$A30,'Master Table'!$B30)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'LA'),0,1,0);</v>
      </c>
      <c r="AH30" t="str">
        <f>assignmentSQL('Master Table'!AH30,'Master Table'!AH$1,'Master Table'!$A30,'Master Table'!$B30)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'LA'),0,1,0);</v>
      </c>
      <c r="AI30" t="str">
        <f>assignmentSQL('Master Table'!AI30,'Master Table'!AI$1,'Master Table'!$A30,'Master Table'!$B30)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'LA'),0,1,0);</v>
      </c>
      <c r="AJ30" t="str">
        <f>assignmentSQL('Master Table'!AJ30,'Master Table'!AJ$1,'Master Table'!$A30,'Master Table'!$B30)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'LA'),0,1,0);</v>
      </c>
      <c r="AK30" t="str">
        <f>assignmentSQL('Master Table'!AK30,'Master Table'!AK$1,'Master Table'!$A30,'Master Table'!$B30)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'LA'),0,1,0);</v>
      </c>
      <c r="AL30" t="str">
        <f>assignmentSQL('Master Table'!AL30,'Master Table'!AL$1,'Master Table'!$A30,'Master Table'!$B30)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'LA'),0,1,0);</v>
      </c>
      <c r="AM30" t="str">
        <f>assignmentSQL('Master Table'!AM30,'Master Table'!AM$1,'Master Table'!$A30,'Master Table'!$B30)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'LA'),0,1,0);</v>
      </c>
      <c r="AN30" t="str">
        <f>assignmentSQL('Master Table'!AN30,'Master Table'!AN$1,'Master Table'!$A30,'Master Table'!$B30)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'LA'),0,1,0);</v>
      </c>
      <c r="AO30" t="str">
        <f>assignmentSQL('Master Table'!AO30,'Master Table'!AO$1,'Master Table'!$A30,'Master Table'!$B30)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'LA'),0,1,0);</v>
      </c>
      <c r="AP30" t="str">
        <f>assignmentSQL('Master Table'!AP30,'Master Table'!AP$1,'Master Table'!$A30,'Master Table'!$B30)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'LA'),0,1,0);</v>
      </c>
      <c r="AQ30" t="str">
        <f>assignmentSQL('Master Table'!AQ30,'Master Table'!AQ$1,'Master Table'!$A30,'Master Table'!$B30)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'LA'),0,1,0);</v>
      </c>
      <c r="AR30" t="str">
        <f>assignmentSQL('Master Table'!AR30,'Master Table'!AR$1,'Master Table'!$A30,'Master Table'!$B30)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'LA'),0,1,0);</v>
      </c>
      <c r="AS30" t="str">
        <f>assignmentSQL('Master Table'!AS30,'Master Table'!AS$1,'Master Table'!$A30,'Master Table'!$B30)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'LA'),0,1,0);</v>
      </c>
      <c r="AT30" t="str">
        <f>assignmentSQL('Master Table'!AT30,'Master Table'!AT$1,'Master Table'!$A30,'Master Table'!$B30)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'LA'),0,1,0);</v>
      </c>
      <c r="AU30" t="str">
        <f>assignmentSQL('Master Table'!AU30,'Master Table'!AU$1,'Master Table'!$A30,'Master Table'!$B30)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'LA'),0,1,0);</v>
      </c>
      <c r="AV30" t="str">
        <f>assignmentSQL('Master Table'!AV30,'Master Table'!AV$1,'Master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'LA'),0,1,0);</v>
      </c>
      <c r="AW30" t="str">
        <f>assignmentSQL('Master Table'!AW30,'Master Table'!AW$1,'Master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'LA'),0,1,0);</v>
      </c>
      <c r="AX30" t="str">
        <f>assignmentSQL('Master Table'!AX30,'Master Table'!AX$1,'Master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'LA'),0,1,0);</v>
      </c>
      <c r="AY30" t="str">
        <f>assignmentSQL('Master Table'!AY30,'Master Table'!AY$1,'Master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'LA'),0,1,0);</v>
      </c>
      <c r="AZ30" t="str">
        <f>assignmentSQL('Master Table'!AZ30,'Master Table'!AZ$1,'Master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'LA'),0,1,0);</v>
      </c>
      <c r="BA30" t="str">
        <f>assignmentSQL('Master Table'!BA30,'Master Table'!BA$1,'Master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'LA'),0,1,0);INSERT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'LA'),0,1,0);</v>
      </c>
      <c r="BB30" t="str">
        <f>assignmentSQL('Master Table'!BB30,'Master Table'!BB$1,'Master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'LA'),0,1,0);INSERT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'LA'),0,1,0);</v>
      </c>
      <c r="BC30" t="str">
        <f>assignmentSQL('Master Table'!BC30,'Master Table'!BC$1,'Master Table'!$A30,'Master Table'!$B30)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'LA'),0,1,0);INSERT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'LA'),0,1,0);</v>
      </c>
      <c r="BD30" t="str">
        <f>assignmentSQL('Master Table'!BD30,'Master Table'!BD$1,'Master Table'!$A30,'Master Table'!$B30)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'LA'),0,1,0);</v>
      </c>
      <c r="BE30" t="str">
        <f>assignmentSQL('Master Table'!BE30,'Master Table'!BE$1,'Master Table'!$A30,'Master Table'!$B30)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'LA'),0,1,0);</v>
      </c>
      <c r="BF30" t="str">
        <f>assignmentSQL('Master Table'!BF30,'Master Table'!BF$1,'Master Table'!$A30,'Master Table'!$B30)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'LA'),0,1,0);</v>
      </c>
      <c r="BG30" t="str">
        <f>assignmentSQL('Master Table'!BG30,'Master Table'!BG$1,'Master Table'!$A30,'Master Table'!$B30)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'LA'),0,1,0);</v>
      </c>
      <c r="BH30" t="str">
        <f>assignmentSQL('Master Table'!BH30,'Master Table'!BH$1,'Master Table'!$A30,'Master Table'!$B30)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'LA'),0,1,0);</v>
      </c>
      <c r="BI30" t="str">
        <f>assignmentSQL('Master Table'!BI30,'Master Table'!BI$1,'Master Table'!$A30,'Master Table'!$B30)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'LA'),0,1,0);</v>
      </c>
      <c r="BJ30" t="str">
        <f>assignmentSQL('Master Table'!BJ30,'Master Table'!BJ$1,'Master Table'!$A30,'Master Table'!$B30)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'LA'),0,1,0);</v>
      </c>
      <c r="BK30" t="str">
        <f>assignmentSQL('Master Table'!BK30,'Master Table'!BK$1,'Master Table'!$A30,'Master Table'!$B30)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'LA'),0,1,0);</v>
      </c>
      <c r="BL30" t="str">
        <f>assignmentSQL('Master Table'!BL30,'Master Table'!BL$1,'Master Table'!$A30,'Master Table'!$B30)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'LA'),0,1,0);</v>
      </c>
    </row>
    <row r="31" spans="3:64" x14ac:dyDescent="0.25">
      <c r="C31" t="str">
        <f>assignmentSQL('Master Table'!C31,'Master Table'!C$1,'Master Table'!$A31,'Master Table'!$B31)</f>
        <v/>
      </c>
      <c r="D31" t="str">
        <f>assignmentSQL('Master Table'!D31,'Master Table'!D$1,'Master Table'!$A31,'Master Table'!$B31)</f>
        <v/>
      </c>
      <c r="E31" t="str">
        <f>assignmentSQL('Master Table'!E31,'Master Table'!E$1,'Master Table'!$A31,'Master Table'!$B31)</f>
        <v>INSERT INTO Contact_ProductLine_Map (ContactId, ProductLineId, RegionId, IsSales, IsPM, IsUserAdvocate) VALUES ((SELECT ContactId FROM Contact WHERE Name = 'Leonardo Serilo'), (SELECT ProductLineId FROM ProductLine WHERE Name = 'AUTOPIPE'), (SELECT RegionID FROM Region WHERE Name = 'LA'),0,0,1);</v>
      </c>
      <c r="F31" t="str">
        <f>assignmentSQL('Master Table'!F31,'Master Table'!F$1,'Master Table'!$A31,'Master Table'!$B31)</f>
        <v>INSERT INTO Contact_ProductLine_Map (ContactId, ProductLineId, RegionId, IsSales, IsPM, IsUserAdvocate) VALUES ((SELECT ContactId FROM Contact WHERE Name = 'Rafael Lara'), (SELECT ProductLineId FROM ProductLine WHERE Name = 'SACS'), (SELECT RegionID FROM Region WHERE Name = 'LA'),0,0,1);</v>
      </c>
      <c r="G31" t="str">
        <f>assignmentSQL('Master Table'!G31,'Master Table'!G$1,'Master Table'!$A31,'Master Table'!$B31)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'LA'),0,0,1);</v>
      </c>
      <c r="H31" t="str">
        <f>assignmentSQL('Master Table'!H31,'Master Table'!H$1,'Master Table'!$A31,'Master Table'!$B31)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'LA'),0,0,1);</v>
      </c>
      <c r="I31" t="str">
        <f>assignmentSQL('Master Table'!I31,'Master Table'!I$1,'Master Table'!$A31,'Master Table'!$B31)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'LA'),0,0,1);</v>
      </c>
      <c r="J31" t="str">
        <f>assignmentSQL('Master Table'!J31,'Master Table'!J$1,'Master Table'!$A31,'Master Table'!$B31)</f>
        <v>INSERT INTO Contact_ProductLine_Map (ContactId, ProductLineId, RegionId, IsSales, IsPM, IsUserAdvocate) VALUES ((SELECT ContactId FROM Contact WHERE Name = 'Ignacio Almagro'), (SELECT ProductLineId FROM ProductLine WHERE Name = 'LEAP'), (SELECT RegionID FROM Region WHERE Name = 'LA'),0,0,1);</v>
      </c>
      <c r="K31" t="str">
        <f>assignmentSQL('Master Table'!K31,'Master Table'!K$1,'Master Table'!$A31,'Master Table'!$B31)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'LA'),0,0,1);</v>
      </c>
      <c r="L31" t="str">
        <f>assignmentSQL('Master Table'!L31,'Master Table'!L$1,'Master Table'!$A31,'Master Table'!$B31)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'LA'),0,0,1);</v>
      </c>
      <c r="M31" t="str">
        <f>assignmentSQL('Master Table'!M31,'Master Table'!M$1,'Master Table'!$A31,'Master Table'!$B31)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'LA'),0,0,1);</v>
      </c>
      <c r="N31" t="str">
        <f>assignmentSQL('Master Table'!N31,'Master Table'!N$1,'Master Table'!$A31,'Master Table'!$B31)</f>
        <v>INSERT INTO Contact_ProductLine_Map (ContactId, ProductLineId, RegionId, IsSales, IsPM, IsUserAdvocate) VALUES ((SELECT ContactId FROM Contact WHERE Name = 'Rodolfo Guilherme'), (SELECT ProductLineId FROM ProductLine WHERE Name = 'AECOsim Building Designer'), (SELECT RegionID FROM Region WHERE Name = 'LA'),0,0,1);</v>
      </c>
      <c r="O31" t="str">
        <f>assignmentSQL('Master Table'!O31,'Master Table'!O$1,'Master Table'!$A31,'Master Table'!$B31)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'LA'),0,0,1);</v>
      </c>
      <c r="P31" t="str">
        <f>assignmentSQL('Master Table'!P31,'Master Table'!P$1,'Master Table'!$A31,'Master Table'!$B31)</f>
        <v>INSERT INTO Contact_ProductLine_Map (ContactId, ProductLineId, RegionId, IsSales, IsPM, IsUserAdvocate) VALUES ((SELECT ContactId FROM Contact WHERE Name = 'Rodolfo Guilherme'), (SELECT ProductLineId FROM ProductLine WHERE Name = 'Hevacomp'), (SELECT RegionID FROM Region WHERE Name = 'LA'),0,0,1);</v>
      </c>
      <c r="Q31" t="str">
        <f>assignmentSQL('Master Table'!Q31,'Master Table'!Q$1,'Master Table'!$A31,'Master Table'!$B31)</f>
        <v>INSERT INTO Contact_ProductLine_Map (ContactId, ProductLineId, RegionId, IsSales, IsPM, IsUserAdvocate) VALUES ((SELECT ContactId FROM Contact WHERE Name = 'Cesar Puga'), (SELECT ProductLineId FROM ProductLine WHERE Name = 'GEOPAK'), (SELECT RegionID FROM Region WHERE Name = 'LA'),0,0,1);</v>
      </c>
      <c r="R31" t="str">
        <f>assignmentSQL('Master Table'!R31,'Master Table'!R$1,'Master Table'!$A31,'Master Table'!$B31)</f>
        <v>INSERT INTO Contact_ProductLine_Map (ContactId, ProductLineId, RegionId, IsSales, IsPM, IsUserAdvocate) VALUES ((SELECT ContactId FROM Contact WHERE Name = 'Cesar Puga'), (SELECT ProductLineId FROM ProductLine WHERE Name = 'InRoads'), (SELECT RegionID FROM Region WHERE Name = 'LA'),0,0,1);</v>
      </c>
      <c r="S31" t="str">
        <f>assignmentSQL('Master Table'!S31,'Master Table'!S$1,'Master Table'!$A31,'Master Table'!$B31)</f>
        <v>INSERT INTO Contact_ProductLine_Map (ContactId, ProductLineId, RegionId, IsSales, IsPM, IsUserAdvocate) VALUES ((SELECT ContactId FROM Contact WHERE Name = 'Cesar Puga'), (SELECT ProductLineId FROM ProductLine WHERE Name = 'MX'), (SELECT RegionID FROM Region WHERE Name = 'LA'),0,0,1);</v>
      </c>
      <c r="T31" t="str">
        <f>assignmentSQL('Master Table'!T31,'Master Table'!T$1,'Master Table'!$A31,'Master Table'!$B31)</f>
        <v>INSERT INTO Contact_ProductLine_Map (ContactId, ProductLineId, RegionId, IsSales, IsPM, IsUserAdvocate) VALUES ((SELECT ContactId FROM Contact WHERE Name = 'Cesar Puga'), (SELECT ProductLineId FROM ProductLine WHERE Name = 'OpenRail'), (SELECT RegionID FROM Region WHERE Name = 'LA'),0,0,1);</v>
      </c>
      <c r="U31" t="str">
        <f>assignmentSQL('Master Table'!U31,'Master Table'!U$1,'Master Table'!$A31,'Master Table'!$B31)</f>
        <v>INSERT INTO Contact_ProductLine_Map (ContactId, ProductLineId, RegionId, IsSales, IsPM, IsUserAdvocate) VALUES ((SELECT ContactId FROM Contact WHERE Name = 'Cesar Puga'), (SELECT ProductLineId FROM ProductLine WHERE Name = 'OpenRoads'), (SELECT RegionID FROM Region WHERE Name = 'LA'),0,0,1);</v>
      </c>
      <c r="V31" t="str">
        <f>assignmentSQL('Master Table'!V31,'Master Table'!V$1,'Master Table'!$A31,'Master Table'!$B31)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'LA'),0,0,1);</v>
      </c>
      <c r="W31" t="str">
        <f>assignmentSQL('Master Table'!W31,'Master Table'!W$1,'Master Table'!$A31,'Master Table'!$B31)</f>
        <v>INSERT INTO Contact_ProductLine_Map (ContactId, ProductLineId, RegionId, IsSales, IsPM, IsUserAdvocate) VALUES ((SELECT ContactId FROM Contact WHERE Name = 'Katie Aguilar'), (SELECT ProductLineId FROM ProductLine WHERE Name = 'gINT'), (SELECT RegionID FROM Region WHERE Name = 'LA'),0,0,1);</v>
      </c>
      <c r="X31" t="str">
        <f>assignmentSQL('Master Table'!X31,'Master Table'!X$1,'Master Table'!$A31,'Master Table'!$B31)</f>
        <v>INSERT INTO Contact_ProductLine_Map (ContactId, ProductLineId, RegionId, IsSales, IsPM, IsUserAdvocate) VALUES ((SELECT ContactId FROM Contact WHERE Name = 'Gustavo Marin'), (SELECT ProductLineId FROM ProductLine WHERE Name = 'AutoPLANT'), (SELECT RegionID FROM Region WHERE Name = 'LA'),0,0,1);</v>
      </c>
      <c r="Y31" t="str">
        <f>assignmentSQL('Master Table'!Y31,'Master Table'!Y$1,'Master Table'!$A31,'Master Table'!$B31)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'LA'),0,0,1);</v>
      </c>
      <c r="Z31" t="str">
        <f>assignmentSQL('Master Table'!Z31,'Master Table'!Z$1,'Master Table'!$A31,'Master Table'!$B31)</f>
        <v>INSERT INTO Contact_ProductLine_Map (ContactId, ProductLineId, RegionId, IsSales, IsPM, IsUserAdvocate) VALUES ((SELECT ContactId FROM Contact WHERE Name = 'Pablo Garrido'), (SELECT ProductLineId FROM ProductLine WHERE Name = 'OpenPlant'), (SELECT RegionID FROM Region WHERE Name = 'LA'),0,0,1);</v>
      </c>
      <c r="AA31" t="str">
        <f>assignmentSQL('Master Table'!AA31,'Master Table'!AA$1,'Master Table'!$A31,'Master Table'!$B31)</f>
        <v>INSERT INTO Contact_ProductLine_Map (ContactId, ProductLineId, RegionId, IsSales, IsPM, IsUserAdvocate) VALUES ((SELECT ContactId FROM Contact WHERE Name = 'Ari Rantasalo'), (SELECT ProductLineId FROM ProductLine WHERE Name = 'PlantSpace'), (SELECT RegionID FROM Region WHERE Name = 'LA'),0,0,1);</v>
      </c>
      <c r="AB31" t="str">
        <f>assignmentSQL('Master Table'!AB31,'Master Table'!AB$1,'Master Table'!$A31,'Master Table'!$B31)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'LA'),0,0,1);</v>
      </c>
      <c r="AC31" t="str">
        <f>assignmentSQL('Master Table'!AC31,'Master Table'!AC$1,'Master Table'!$A31,'Master Table'!$B31)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'LA'),0,0,1);</v>
      </c>
      <c r="AD31" t="str">
        <f>assignmentSQL('Master Table'!AD31,'Master Table'!AD$1,'Master Table'!$A31,'Master Table'!$B31)</f>
        <v>INSERT INTO Contact_ProductLine_Map (ContactId, ProductLineId, RegionId, IsSales, IsPM, IsUserAdvocate) VALUES ((SELECT ContactId FROM Contact WHERE Name = 'Mike Barkasi'), (SELECT ProductLineId FROM ProductLine WHERE Name = 'Pointools'), (SELECT RegionID FROM Region WHERE Name = 'LA'),0,0,1);</v>
      </c>
      <c r="AE31" t="str">
        <f>assignmentSQL('Master Table'!AE31,'Master Table'!AE$1,'Master Table'!$A31,'Master Table'!$B31)</f>
        <v>INSERT INTO Contact_ProductLine_Map (ContactId, ProductLineId, RegionId, IsSales, IsPM, IsUserAdvocate) VALUES ((SELECT ContactId FROM Contact WHERE Name = 'Mike Barkasi'), (SELECT ProductLineId FROM ProductLine WHERE Name = 'LumenRT'), (SELECT RegionID FROM Region WHERE Name = 'LA'),0,0,1);</v>
      </c>
      <c r="AF31" t="str">
        <f>assignmentSQL('Master Table'!AF31,'Master Table'!AF$1,'Master Table'!$A31,'Master Table'!$B31)</f>
        <v>INSERT INTO Contact_ProductLine_Map (ContactId, ProductLineId, RegionId, IsSales, IsPM, IsUserAdvocate) VALUES ((SELECT ContactId FROM Contact WHERE Name = 'Mike Barkasi'), (SELECT ProductLineId FROM ProductLine WHERE Name = 'ContextCapture'), (SELECT RegionID FROM Region WHERE Name = 'LA'),0,0,1);</v>
      </c>
      <c r="AG31" t="str">
        <f>assignmentSQL('Master Table'!AG31,'Master Table'!AG$1,'Master Table'!$A31,'Master Table'!$B31)</f>
        <v>INSERT INTO Contact_ProductLine_Map (ContactId, ProductLineId, RegionId, IsSales, IsPM, IsUserAdvocate) VALUES ((SELECT ContactId FROM Contact WHERE Name = 'Mike Barkasi'), (SELECT ProductLineId FROM ProductLine WHERE Name = 'Descartes'), (SELECT RegionID FROM Region WHERE Name = 'LA'),0,0,1);</v>
      </c>
      <c r="AH31" t="str">
        <f>assignmentSQL('Master Table'!AH31,'Master Table'!AH$1,'Master Table'!$A31,'Master Table'!$B31)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'LA'),0,0,1);</v>
      </c>
      <c r="AI31" t="str">
        <f>assignmentSQL('Master Table'!AI31,'Master Table'!AI$1,'Master Table'!$A31,'Master Table'!$B31)</f>
        <v/>
      </c>
      <c r="AJ31" t="str">
        <f>assignmentSQL('Master Table'!AJ31,'Master Table'!AJ$1,'Master Table'!$A31,'Master Table'!$B31)</f>
        <v>INSERT INTO Contact_ProductLine_Map (ContactId, ProductLineId, RegionId, IsSales, IsPM, IsUserAdvocate) VALUES ((SELECT ContactId FROM Contact WHERE Name = 'Cindy Stephens'), (SELECT ProductLineId FROM ProductLine WHERE Name = 'AssetWise'), (SELECT RegionID FROM Region WHERE Name = 'LA'),0,0,1);</v>
      </c>
      <c r="AK31" t="str">
        <f>assignmentSQL('Master Table'!AK31,'Master Table'!AK$1,'Master Table'!$A31,'Master Table'!$B31)</f>
        <v>INSERT INTO Contact_ProductLine_Map (ContactId, ProductLineId, RegionId, IsSales, IsPM, IsUserAdvocate) VALUES ((SELECT ContactId FROM Contact WHERE Name = 'David Crozier'), (SELECT ProductLineId FROM ProductLine WHERE Name = 'AssetWise APM'), (SELECT RegionID FROM Region WHERE Name = 'LA'),0,0,1);</v>
      </c>
      <c r="AL31" t="str">
        <f>assignmentSQL('Master Table'!AL31,'Master Table'!AL$1,'Master Table'!$A31,'Master Table'!$B31)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'LA'),0,0,1);</v>
      </c>
      <c r="AM31" t="str">
        <f>assignmentSQL('Master Table'!AM31,'Master Table'!AM$1,'Master Table'!$A31,'Master Table'!$B31)</f>
        <v>INSERT INTO Contact_ProductLine_Map (ContactId, ProductLineId, RegionId, IsSales, IsPM, IsUserAdvocate) VALUES ((SELECT ContactId FROM Contact WHERE Name = 'Mike Horsfall'), (SELECT ProductLineId FROM ProductLine WHERE Name = 'Map'), (SELECT RegionID FROM Region WHERE Name = 'LA'),0,0,1);</v>
      </c>
      <c r="AN31" t="str">
        <f>assignmentSQL('Master Table'!AN31,'Master Table'!AN$1,'Master Table'!$A31,'Master Table'!$B31)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'LA'),0,0,1);</v>
      </c>
      <c r="AO31" t="str">
        <f>assignmentSQL('Master Table'!AO31,'Master Table'!AO$1,'Master Table'!$A31,'Master Table'!$B31)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'LA'),0,0,1);</v>
      </c>
      <c r="AP31" t="str">
        <f>assignmentSQL('Master Table'!AP31,'Master Table'!AP$1,'Master Table'!$A31,'Master Table'!$B31)</f>
        <v>INSERT INTO Contact_ProductLine_Map (ContactId, ProductLineId, RegionId, IsSales, IsPM, IsUserAdvocate) VALUES ((SELECT ContactId FROM Contact WHERE Name = 'Kristen Dietrich'), (SELECT ProductLineId FROM ProductLine WHERE Name = 'Haestad'), (SELECT RegionID FROM Region WHERE Name = 'LA'),0,0,1);</v>
      </c>
      <c r="AQ31" t="str">
        <f>assignmentSQL('Master Table'!AQ31,'Master Table'!AQ$1,'Master Table'!$A31,'Master Table'!$B31)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'LA'),0,0,1);</v>
      </c>
      <c r="AR31" t="str">
        <f>assignmentSQL('Master Table'!AR31,'Master Table'!AR$1,'Master Table'!$A31,'Master Table'!$B31)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'LA'),0,0,1);</v>
      </c>
      <c r="AS31" t="str">
        <f>assignmentSQL('Master Table'!AS31,'Master Table'!AS$1,'Master Table'!$A31,'Master Table'!$B31)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'LA'),0,0,1);</v>
      </c>
      <c r="AT31" t="str">
        <f>assignmentSQL('Master Table'!AT31,'Master Table'!AT$1,'Master Table'!$A31,'Master Table'!$B31)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'LA'),0,0,1);</v>
      </c>
      <c r="AU31" t="str">
        <f>assignmentSQL('Master Table'!AU31,'Master Table'!AU$1,'Master Table'!$A31,'Master Table'!$B31)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'LA'),0,0,1);</v>
      </c>
      <c r="AV31" t="str">
        <f>assignmentSQL('Master Table'!AV31,'Master Table'!AV$1,'Master Table'!$A31,'Master Table'!$B31)</f>
        <v>INSERT INTO Contact_ProductLine_Map (ContactId, ProductLineId, RegionId, IsSales, IsPM, IsUserAdvocate) VALUES ((SELECT ContactId FROM Contact WHERE Name = 'Dana Guthrie'), (SELECT ProductLineId FROM ProductLine WHERE Name = 'ProjectWise Design Integration'), (SELECT RegionID FROM Region WHERE Name = 'LA'),0,0,1);</v>
      </c>
      <c r="AW31" t="str">
        <f>assignmentSQL('Master Table'!AW31,'Master Table'!AW$1,'Master Table'!$A31,'Master Table'!$B31)</f>
        <v>INSERT INTO Contact_ProductLine_Map (ContactId, ProductLineId, RegionId, IsSales, IsPM, IsUserAdvocate) VALUES ((SELECT ContactId FROM Contact WHERE Name = 'Ranveer Basra'), (SELECT ProductLineId FROM ProductLine WHERE Name = 'ProjectWise Issues Resolution'), (SELECT RegionID FROM Region WHERE Name = 'LA'),0,0,1);</v>
      </c>
      <c r="AX31" t="str">
        <f>assignmentSQL('Master Table'!AX31,'Master Table'!AX$1,'Master Table'!$A31,'Master Table'!$B31)</f>
        <v>INSERT INTO Contact_ProductLine_Map (ContactId, ProductLineId, RegionId, IsSales, IsPM, IsUserAdvocate) VALUES ((SELECT ContactId FROM Contact WHERE Name = 'Raul Guerrero'), (SELECT ProductLineId FROM ProductLine WHERE Name = 'ProjectWise Explorer Civil 3D Integration Module'), (SELECT RegionID FROM Region WHERE Name = 'LA'),0,0,1);</v>
      </c>
      <c r="AY31" t="str">
        <f>assignmentSQL('Master Table'!AY31,'Master Table'!AY$1,'Master Table'!$A31,'Master Table'!$B31)</f>
        <v>INSERT INTO Contact_ProductLine_Map (ContactId, ProductLineId, RegionId, IsSales, IsPM, IsUserAdvocate) VALUES ((SELECT ContactId FROM Contact WHERE Name = 'Raul Guerrero'), (SELECT ProductLineId FROM ProductLine WHERE Name = 'ProjectWise Explorer Revit Integration Module'), (SELECT RegionID FROM Region WHERE Name = 'LA'),0,0,1);</v>
      </c>
      <c r="AZ31" t="str">
        <f>assignmentSQL('Master Table'!AZ31,'Master Table'!AZ$1,'Master Table'!$A31,'Master Table'!$B31)</f>
        <v>INSERT INTO Contact_ProductLine_Map (ContactId, ProductLineId, RegionId, IsSales, IsPM, IsUserAdvocate) VALUES ((SELECT ContactId FROM Contact WHERE Name = 'Vickie Hewitt'), (SELECT ProductLineId FROM ProductLine WHERE Name = 'ProjectWise Explorer Office Integration Module'), (SELECT RegionID FROM Region WHERE Name = 'LA'),0,0,1);</v>
      </c>
      <c r="BA31" t="str">
        <f>assignmentSQL('Master Table'!BA31,'Master Table'!BA$1,'Master Table'!$A31,'Master Table'!$B31)</f>
        <v>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'LA'),0,0,1);</v>
      </c>
      <c r="BB31" t="str">
        <f>assignmentSQL('Master Table'!BB31,'Master Table'!BB$1,'Master Table'!$A31,'Master Table'!$B31)</f>
        <v>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'LA'),0,0,1);</v>
      </c>
      <c r="BC31" t="str">
        <f>assignmentSQL('Master Table'!BC31,'Master Table'!BC$1,'Master Table'!$A31,'Master Table'!$B31)</f>
        <v>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'LA'),0,0,1);</v>
      </c>
      <c r="BD31" t="str">
        <f>assignmentSQL('Master Table'!BD31,'Master Table'!BD$1,'Master Table'!$A31,'Master Table'!$B31)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'LA'),0,0,1);</v>
      </c>
      <c r="BE31" t="str">
        <f>assignmentSQL('Master Table'!BE31,'Master Table'!BE$1,'Master Table'!$A31,'Master Table'!$B31)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'LA'),0,0,1);</v>
      </c>
      <c r="BF31" t="str">
        <f>assignmentSQL('Master Table'!BF31,'Master Table'!BF$1,'Master Table'!$A31,'Master Table'!$B31)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'LA'),0,0,1);</v>
      </c>
      <c r="BG31" t="str">
        <f>assignmentSQL('Master Table'!BG31,'Master Table'!BG$1,'Master Table'!$A31,'Master Table'!$B31)</f>
        <v>INSERT INTO Contact_ProductLine_Map (ContactId, ProductLineId, RegionId, IsSales, IsPM, IsUserAdvocate) VALUES ((SELECT ContactId FROM Contact WHERE Name = 'Molly Watts'), (SELECT ProductLineId FROM ProductLine WHERE Name = 'Deliverables Management'), (SELECT RegionID FROM Region WHERE Name = 'LA'),0,0,1);</v>
      </c>
      <c r="BH31" t="str">
        <f>assignmentSQL('Master Table'!BH31,'Master Table'!BH$1,'Master Table'!$A31,'Master Table'!$B31)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'LA'),0,0,1);</v>
      </c>
      <c r="BI31" t="str">
        <f>assignmentSQL('Master Table'!BI31,'Master Table'!BI$1,'Master Table'!$A31,'Master Table'!$B31)</f>
        <v>INSERT INTO Contact_ProductLine_Map (ContactId, ProductLineId, RegionId, IsSales, IsPM, IsUserAdvocate) VALUES ((SELECT ContactId FROM Contact WHERE Name = 'Ranveer Basra'), (SELECT ProductLineId FROM ProductLine WHERE Name = 'ProjectWise "Field Data Management'), (SELECT RegionID FROM Region WHERE Name = 'LA'),0,0,1);</v>
      </c>
      <c r="BJ31" t="str">
        <f>assignmentSQL('Master Table'!BJ31,'Master Table'!BJ$1,'Master Table'!$A31,'Master Table'!$B31)</f>
        <v>INSERT INTO Contact_ProductLine_Map (ContactId, ProductLineId, RegionId, IsSales, IsPM, IsUserAdvocate) VALUES ((SELECT ContactId FROM Contact WHERE Name = 'Marion Powell'), (SELECT ProductLineId FROM ProductLine WHERE Name = 'ProjectWise i-model Composition Server for PDF'), (SELECT RegionID FROM Region WHERE Name = 'LA'),0,0,1);</v>
      </c>
      <c r="BK31" t="str">
        <f>assignmentSQL('Master Table'!BK31,'Master Table'!BK$1,'Master Table'!$A31,'Master Table'!$B31)</f>
        <v>INSERT INTO Contact_ProductLine_Map (ContactId, ProductLineId, RegionId, IsSales, IsPM, IsUserAdvocate) VALUES ((SELECT ContactId FROM Contact WHERE Name = 'Todd Combs'), (SELECT ProductLineId FROM ProductLine WHERE Name = 'ProjectWise InterPlot Server and Interplot Organizer'), (SELECT RegionID FROM Region WHERE Name = 'LA'),0,0,1);</v>
      </c>
      <c r="BL31" t="str">
        <f>assignmentSQL('Master Table'!BL31,'Master Table'!BL$1,'Master Table'!$A31,'Master Table'!$B31)</f>
        <v>INSERT INTO Contact_ProductLine_Map (ContactId, ProductLineId, RegionId, IsSales, IsPM, IsUserAdvocate) VALUES ((SELECT ContactId FROM Contact WHERE Name = 'Todd Combs'), (SELECT ProductLineId FROM ProductLine WHERE Name = 'ProjectWise i-model Composition Server for i-models'), (SELECT RegionID FROM Region WHERE Name = 'LA'),0,0,1);</v>
      </c>
    </row>
    <row r="32" spans="3:64" x14ac:dyDescent="0.25">
      <c r="C32" t="str">
        <f>assignmentSQL('Master Table'!C32,'Master Table'!C$1,'Master Table'!$A32,'Master Table'!$B32)</f>
        <v>INSERT INTO Contact_ProductLine_Map (ContactId, ProductLineId, RegionId, IsSales, IsPM, IsUserAdvocate) VALUES ((SELECT ContactId FROM Contact WHERE Name = 'Sandra Mora'), (SELECT ProductLineId FROM ProductLine WHERE Name = 'STAAD'), (SELECT RegionID FROM Region WHERE Name = 'ANZ'),1,0,0);</v>
      </c>
      <c r="D32" t="str">
        <f>assignmentSQL('Master Table'!D32,'Master Table'!D$1,'Master Table'!$A32,'Master Table'!$B32)</f>
        <v>INSERT INTO Contact_ProductLine_Map (ContactId, ProductLineId, RegionId, IsSales, IsPM, IsUserAdvocate) VALUES ((SELECT ContactId FROM Contact WHERE Name = 'Sandra Mora'), (SELECT ProductLineId FROM ProductLine WHERE Name = 'RAM'), (SELECT RegionID FROM Region WHERE Name = 'ANZ'),1,0,0);</v>
      </c>
      <c r="E32" t="str">
        <f>assignmentSQL('Master Table'!E32,'Master Table'!E$1,'Master Table'!$A32,'Master Table'!$B32)</f>
        <v>INSERT INTO Contact_ProductLine_Map (ContactId, ProductLineId, RegionId, IsSales, IsPM, IsUserAdvocate) VALUES ((SELECT ContactId FROM Contact WHERE Name = 'Sandra Mora'), (SELECT ProductLineId FROM ProductLine WHERE Name = 'AUTOPIPE'), (SELECT RegionID FROM Region WHERE Name = 'ANZ'),1,0,0);</v>
      </c>
      <c r="F32" t="str">
        <f>assignmentSQL('Master Table'!F32,'Master Table'!F$1,'Master Table'!$A32,'Master Table'!$B32)</f>
        <v>INSERT INTO Contact_ProductLine_Map (ContactId, ProductLineId, RegionId, IsSales, IsPM, IsUserAdvocate) VALUES ((SELECT ContactId FROM Contact WHERE Name = 'Sandra Mora'), (SELECT ProductLineId FROM ProductLine WHERE Name = 'SACS'), (SELECT RegionID FROM Region WHERE Name = 'ANZ'),1,0,0);</v>
      </c>
      <c r="G32" t="str">
        <f>assignmentSQL('Master Table'!G32,'Master Table'!G$1,'Master Table'!$A32,'Master Table'!$B32)</f>
        <v>INSERT INTO Contact_ProductLine_Map (ContactId, ProductLineId, RegionId, IsSales, IsPM, IsUserAdvocate) VALUES ((SELECT ContactId FROM Contact WHERE Name = 'Sandra Mora'), (SELECT ProductLineId FROM ProductLine WHERE Name = 'MAXSURF'), (SELECT RegionID FROM Region WHERE Name = 'ANZ'),1,0,0);</v>
      </c>
      <c r="H32" t="str">
        <f>assignmentSQL('Master Table'!H32,'Master Table'!H$1,'Master Table'!$A32,'Master Table'!$B32)</f>
        <v>INSERT INTO Contact_ProductLine_Map (ContactId, ProductLineId, RegionId, IsSales, IsPM, IsUserAdvocate) VALUES ((SELECT ContactId FROM Contact WHERE Name = 'Sandra Mora'), (SELECT ProductLineId FROM ProductLine WHERE Name = 'MOSES'), (SELECT RegionID FROM Region WHERE Name = 'ANZ'),1,0,0);</v>
      </c>
      <c r="I32" t="str">
        <f>assignmentSQL('Master Table'!I32,'Master Table'!I$1,'Master Table'!$A32,'Master Table'!$B32)</f>
        <v/>
      </c>
      <c r="J32" t="str">
        <f>assignmentSQL('Master Table'!J32,'Master Table'!J$1,'Master Table'!$A32,'Master Table'!$B32)</f>
        <v/>
      </c>
      <c r="K32" t="str">
        <f>assignmentSQL('Master Table'!K32,'Master Table'!K$1,'Master Table'!$A32,'Master Table'!$B32)</f>
        <v/>
      </c>
      <c r="L32" t="str">
        <f>assignmentSQL('Master Table'!L32,'Master Table'!L$1,'Master Table'!$A32,'Master Table'!$B32)</f>
        <v/>
      </c>
      <c r="M32" t="str">
        <f>assignmentSQL('Master Table'!M32,'Master Table'!M$1,'Master Table'!$A32,'Master Table'!$B32)</f>
        <v/>
      </c>
      <c r="N32" t="str">
        <f>assignmentSQL('Master Table'!N32,'Master Table'!N$1,'Master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'AECOsim Building Designer'), (SELECT RegionID FROM Region WHERE Name = 'ANZ'),1,0,0);</v>
      </c>
      <c r="O32" t="str">
        <f>assignmentSQL('Master Table'!O32,'Master Table'!O$1,'Master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'speedikon'), (SELECT RegionID FROM Region WHERE Name = 'ANZ'),1,0,0);</v>
      </c>
      <c r="P32" t="str">
        <f>assignmentSQL('Master Table'!P32,'Master Table'!P$1,'Master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'Hevacomp'), (SELECT RegionID FROM Region WHERE Name = 'ANZ'),1,0,0);</v>
      </c>
      <c r="Q32" t="str">
        <f>assignmentSQL('Master Table'!Q32,'Master Table'!Q$1,'Master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'GEOPAK'), (SELECT RegionID FROM Region WHERE Name = 'ANZ'),1,0,0);</v>
      </c>
      <c r="R32" t="str">
        <f>assignmentSQL('Master Table'!R32,'Master Table'!R$1,'Master Table'!$A32,'Master Table'!$B32)</f>
        <v>INSERT INTO Contact_ProductLine_Map (ContactId, ProductLineId, RegionId, IsSales, IsPM, IsUserAdvocate) VALUES ((SELECT ContactId FROM Contact WHERE Name = 'Raj Dodda'), (SELECT ProductLineId FROM ProductLine WHERE Name = 'InRoads'), (SELECT RegionID FROM Region WHERE Name = 'ANZ'),1,0,0);</v>
      </c>
      <c r="S32" t="str">
        <f>assignmentSQL('Master Table'!S32,'Master Table'!S$1,'Master Table'!$A32,'Master Table'!$B32)</f>
        <v>INSERT INTO Contact_ProductLine_Map (ContactId, ProductLineId, RegionId, IsSales, IsPM, IsUserAdvocate) VALUES ((SELECT ContactId FROM Contact WHERE Name = 'Raj Dodda'), (SELECT ProductLineId FROM ProductLine WHERE Name = 'MX'), (SELECT RegionID FROM Region WHERE Name = 'ANZ'),1,0,0);</v>
      </c>
      <c r="T32" t="str">
        <f>assignmentSQL('Master Table'!T32,'Master Table'!T$1,'Master Table'!$A32,'Master Table'!$B32)</f>
        <v>INSERT INTO Contact_ProductLine_Map (ContactId, ProductLineId, RegionId, IsSales, IsPM, IsUserAdvocate) VALUES ((SELECT ContactId FROM Contact WHERE Name = 'Raj Dodda'), (SELECT ProductLineId FROM ProductLine WHERE Name = 'OpenRail'), (SELECT RegionID FROM Region WHERE Name = 'ANZ'),1,0,0);</v>
      </c>
      <c r="U32" t="str">
        <f>assignmentSQL('Master Table'!U32,'Master Table'!U$1,'Master Table'!$A32,'Master Table'!$B32)</f>
        <v>INSERT INTO Contact_ProductLine_Map (ContactId, ProductLineId, RegionId, IsSales, IsPM, IsUserAdvocate) VALUES ((SELECT ContactId FROM Contact WHERE Name = 'Raj Dodda'), (SELECT ProductLineId FROM ProductLine WHERE Name = 'OpenRoads'), (SELECT RegionID FROM Region WHERE Name = 'ANZ'),1,0,0);</v>
      </c>
      <c r="V32" t="str">
        <f>assignmentSQL('Master Table'!V32,'Master Table'!V$1,'Master Table'!$A32,'Master Table'!$B32)</f>
        <v>INSERT INTO Contact_ProductLine_Map (ContactId, ProductLineId, RegionId, IsSales, IsPM, IsUserAdvocate) VALUES ((SELECT ContactId FROM Contact WHERE Name = 'Raj Dodda'), (SELECT ProductLineId FROM ProductLine WHERE Name = 'ConceptStation'), (SELECT RegionID FROM Region WHERE Name = 'ANZ'),1,0,0);</v>
      </c>
      <c r="W32" t="str">
        <f>assignmentSQL('Master Table'!W32,'Master Table'!W$1,'Master Table'!$A32,'Master Table'!$B32)</f>
        <v>INSERT INTO Contact_ProductLine_Map (ContactId, ProductLineId, RegionId, IsSales, IsPM, IsUserAdvocate) VALUES ((SELECT ContactId FROM Contact WHERE Name = 'Raj Dodda'), (SELECT ProductLineId FROM ProductLine WHERE Name = 'gINT'), (SELECT RegionID FROM Region WHERE Name = 'ANZ'),1,0,0);</v>
      </c>
      <c r="X32" t="str">
        <f>assignmentSQL('Master Table'!X32,'Master Table'!X$1,'Master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'AutoPLANT'), (SELECT RegionID FROM Region WHERE Name = 'ANZ'),1,0,0);</v>
      </c>
      <c r="Y32" t="str">
        <f>assignmentSQL('Master Table'!Y32,'Master Table'!Y$1,'Master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'AXSYS'), (SELECT RegionID FROM Region WHERE Name = 'ANZ'),1,0,0);</v>
      </c>
      <c r="Z32" t="str">
        <f>assignmentSQL('Master Table'!Z32,'Master Table'!Z$1,'Master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'OpenPlant'), (SELECT RegionID FROM Region WHERE Name = 'ANZ'),1,0,0);</v>
      </c>
      <c r="AA32" t="str">
        <f>assignmentSQL('Master Table'!AA32,'Master Table'!AA$1,'Master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'PlantSpace'), (SELECT RegionID FROM Region WHERE Name = 'ANZ'),1,0,0);</v>
      </c>
      <c r="AB32" t="str">
        <f>assignmentSQL('Master Table'!AB32,'Master Table'!AB$1,'Master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'MineCycle'), (SELECT RegionID FROM Region WHERE Name = 'ANZ'),1,0,0);</v>
      </c>
      <c r="AC32" t="str">
        <f>assignmentSQL('Master Table'!AC32,'Master Table'!AC$1,'Master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'Plantwise'), (SELECT RegionID FROM Region WHERE Name = 'ANZ'),1,0,0);</v>
      </c>
      <c r="AD32" t="str">
        <f>assignmentSQL('Master Table'!AD32,'Master Table'!AD$1,'Master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'Pointools'), (SELECT RegionID FROM Region WHERE Name = 'ANZ'),1,0,0);</v>
      </c>
      <c r="AE32" t="str">
        <f>assignmentSQL('Master Table'!AE32,'Master Table'!AE$1,'Master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'LumenRT'), (SELECT RegionID FROM Region WHERE Name = 'ANZ'),1,0,0);</v>
      </c>
      <c r="AF32" t="str">
        <f>assignmentSQL('Master Table'!AF32,'Master Table'!AF$1,'Master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'ContextCapture'), (SELECT RegionID FROM Region WHERE Name = 'ANZ'),1,0,0);</v>
      </c>
      <c r="AG32" t="str">
        <f>assignmentSQL('Master Table'!AG32,'Master Table'!AG$1,'Master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'Descartes'), (SELECT RegionID FROM Region WHERE Name = 'ANZ'),1,0,0);</v>
      </c>
      <c r="AH32" t="str">
        <f>assignmentSQL('Master Table'!AH32,'Master Table'!AH$1,'Master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'ProStructures'), (SELECT RegionID FROM Region WHERE Name = 'ANZ'),1,0,0);</v>
      </c>
      <c r="AI32" t="str">
        <f>assignmentSQL('Master Table'!AI32,'Master Table'!AI$1,'Master Table'!$A32,'Master Table'!$B32)</f>
        <v>INSERT INTO Contact_ProductLine_Map (ContactId, ProductLineId, RegionId, IsSales, IsPM, IsUserAdvocate) VALUES ((SELECT ContactId FROM Contact WHERE Name = 'Sai Selvakumar'), (SELECT ProductLineId FROM ProductLine WHERE Name = 'promis*e'), (SELECT RegionID FROM Region WHERE Name = 'ANZ'),1,0,0);</v>
      </c>
      <c r="AJ32" t="str">
        <f>assignmentSQL('Master Table'!AJ32,'Master Table'!AJ$1,'Master Table'!$A32,'Master Table'!$B32)</f>
        <v>INSERT INTO Contact_ProductLine_Map (ContactId, ProductLineId, RegionId, IsSales, IsPM, IsUserAdvocate) VALUES ((SELECT ContactId FROM Contact WHERE Name = 'Freek Verhoef'), (SELECT ProductLineId FROM ProductLine WHERE Name = 'AssetWise'), (SELECT RegionID FROM Region WHERE Name = 'ANZ'),1,0,0);</v>
      </c>
      <c r="AK32" t="str">
        <f>assignmentSQL('Master Table'!AK32,'Master Table'!AK$1,'Master Table'!$A32,'Master Table'!$B32)</f>
        <v>INSERT INTO Contact_ProductLine_Map (ContactId, ProductLineId, RegionId, IsSales, IsPM, IsUserAdvocate) VALUES ((SELECT ContactId FROM Contact WHERE Name = 'Uma Umakhanthan'), (SELECT ProductLineId FROM ProductLine WHERE Name = 'AssetWise APM'), (SELECT RegionID FROM Region WHERE Name = 'ANZ'),1,0,0);</v>
      </c>
      <c r="AL32" t="str">
        <f>assignmentSQL('Master Table'!AL32,'Master Table'!AL$1,'Master Table'!$A32,'Master Table'!$B32)</f>
        <v>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'ANZ'),1,0,0);INSERT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'ANZ'),1,0,0);INSERT INTO Contact_ProductLine_Map (ContactId, ProductLineId, RegionId, IsSales, IsPM, IsUserAdvocate) VALUES ((SELECT ContactId FROM Contact WHERE Name = 'Jim Lucas'), (SELECT ProductLineId FROM ProductLine WHERE Name = 'OpenUtilities'), (SELECT RegionID FROM Region WHERE Name = 'ANZ'),1,0,0);</v>
      </c>
      <c r="AM32" t="str">
        <f>assignmentSQL('Master Table'!AM32,'Master Table'!AM$1,'Master Table'!$A32,'Master Table'!$B32)</f>
        <v>INSERT INTO Contact_ProductLine_Map (ContactId, ProductLineId, RegionId, IsSales, IsPM, IsUserAdvocate) VALUES ((SELECT ContactId FROM Contact WHERE Name = 'Gaurav Malik'), (SELECT ProductLineId FROM ProductLine WHERE Name = 'Map'), (SELECT RegionID FROM Region WHERE Name = 'ANZ'),1,0,0);INSERT INTO Contact_ProductLine_Map (ContactId, ProductLineId, RegionId, IsSales, IsPM, IsUserAdvocate) VALUES ((SELECT ContactId FROM Contact WHERE Name = 'Suneet Manjavkar'), (SELECT ProductLineId FROM ProductLine WHERE Name = 'Map'), (SELECT RegionID FROM Region WHERE Name = 'ANZ'),1,0,0);</v>
      </c>
      <c r="AN32" t="str">
        <f>assignmentSQL('Master Table'!AN32,'Master Table'!AN$1,'Master Table'!$A32,'Master Table'!$B32)</f>
        <v>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'ANZ'),1,0,0);INSERT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'ANZ'),1,0,0);INSERT INTO Contact_ProductLine_Map (ContactId, ProductLineId, RegionId, IsSales, IsPM, IsUserAdvocate) VALUES ((SELECT ContactId FROM Contact WHERE Name = 'Jim Lucas'), (SELECT ProductLineId FROM ProductLine WHERE Name = 'OpenComms'), (SELECT RegionID FROM Region WHERE Name = 'ANZ'),1,0,0);</v>
      </c>
      <c r="AO32" t="str">
        <f>assignmentSQL('Master Table'!AO32,'Master Table'!AO$1,'Master Table'!$A32,'Master Table'!$B32)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'ANZ'),1,0,0);INSERT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'ANZ'),1,0,0);</v>
      </c>
      <c r="AP32" t="str">
        <f>assignmentSQL('Master Table'!AP32,'Master Table'!AP$1,'Master Table'!$A32,'Master Table'!$B32)</f>
        <v>INSERT INTO Contact_ProductLine_Map (ContactId, ProductLineId, RegionId, IsSales, IsPM, IsUserAdvocate) VALUES ((SELECT ContactId FROM Contact WHERE Name = 'Vincent Ng'), (SELECT ProductLineId FROM ProductLine WHERE Name = 'Haestad'), (SELECT RegionID FROM Region WHERE Name = 'ANZ'),1,0,0);</v>
      </c>
      <c r="AQ32" t="str">
        <f>assignmentSQL('Master Table'!AQ32,'Master Table'!AQ$1,'Master Table'!$A32,'Master Table'!$B32)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'ANZ'),1,0,0);INSERT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'ANZ'),1,0,0);</v>
      </c>
      <c r="AR32" t="str">
        <f>assignmentSQL('Master Table'!AR32,'Master Table'!AR$1,'Master Table'!$A32,'Master Table'!$B32)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'ANZ'),1,0,0);</v>
      </c>
      <c r="AS32" t="str">
        <f>assignmentSQL('Master Table'!AS32,'Master Table'!AS$1,'Master Table'!$A32,'Master Table'!$B32)</f>
        <v>INSERT INTO Contact_ProductLine_Map (ContactId, ProductLineId, RegionId, IsSales, IsPM, IsUserAdvocate) VALUES ((SELECT ContactId FROM Contact WHERE Name = 'Uma Umakhanthan'), (SELECT ProductLineId FROM ProductLine WHERE Name = 'Amulet'), (SELECT RegionID FROM Region WHERE Name = 'ANZ'),1,0,0);</v>
      </c>
      <c r="AT32" t="str">
        <f>assignmentSQL('Master Table'!AT32,'Master Table'!AT$1,'Master Table'!$A32,'Master Table'!$B32)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'ANZ'),1,0,0);</v>
      </c>
      <c r="AU32" t="str">
        <f>assignmentSQL('Master Table'!AU32,'Master Table'!AU$1,'Master Table'!$A32,'Master Table'!$B32)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'ANZ'),1,0,0);</v>
      </c>
      <c r="AV32" t="str">
        <f>assignmentSQL('Master Table'!AV32,'Master Table'!AV$1,'Master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Design Integration'), (SELECT RegionID FROM Region WHERE Name = 'ANZ'),1,0,0);</v>
      </c>
      <c r="AW32" t="str">
        <f>assignmentSQL('Master Table'!AW32,'Master Table'!AW$1,'Master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Issues Resolution'), (SELECT RegionID FROM Region WHERE Name = 'ANZ'),1,0,0);</v>
      </c>
      <c r="AX32" t="str">
        <f>assignmentSQL('Master Table'!AX32,'Master Table'!AX$1,'Master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Explorer Civil 3D Integration Module'), (SELECT RegionID FROM Region WHERE Name = 'ANZ'),1,0,0);</v>
      </c>
      <c r="AY32" t="str">
        <f>assignmentSQL('Master Table'!AY32,'Master Table'!AY$1,'Master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Explorer Revit Integration Module'), (SELECT RegionID FROM Region WHERE Name = 'ANZ'),1,0,0);</v>
      </c>
      <c r="AZ32" t="str">
        <f>assignmentSQL('Master Table'!AZ32,'Master Table'!AZ$1,'Master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Explorer Office Integration Module'), (SELECT RegionID FROM Region WHERE Name = 'ANZ'),1,0,0);</v>
      </c>
      <c r="BA32" t="str">
        <f>assignmentSQL('Master Table'!BA32,'Master Table'!BA$1,'Master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Edge Mobile'), (SELECT RegionID FROM Region WHERE Name = 'ANZ'),1,0,0);</v>
      </c>
      <c r="BB32" t="str">
        <f>assignmentSQL('Master Table'!BB32,'Master Table'!BB$1,'Master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WorkSite'), (SELECT RegionID FROM Region WHERE Name = 'ANZ'),1,0,0);</v>
      </c>
      <c r="BC32" t="str">
        <f>assignmentSQL('Master Table'!BC32,'Master Table'!BC$1,'Master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Edge'), (SELECT RegionID FROM Region WHERE Name = 'ANZ'),1,0,0);</v>
      </c>
      <c r="BD32" t="str">
        <f>assignmentSQL('Master Table'!BD32,'Master Table'!BD$1,'Master Table'!$A32,'Master Table'!$B32)</f>
        <v>INSERT INTO Contact_ProductLine_Map (ContactId, ProductLineId, RegionId, IsSales, IsPM, IsUserAdvocate) VALUES ((SELECT ContactId FROM Contact WHERE Name = 'Pradip Maity'), (SELECT ProductLineId FROM ProductLine WHERE Name = 'Navigator CE'), (SELECT RegionID FROM Region WHERE Name = 'ANZ'),1,0,0);</v>
      </c>
      <c r="BE32" t="str">
        <f>assignmentSQL('Master Table'!BE32,'Master Table'!BE$1,'Master Table'!$A32,'Master Table'!$B32)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'ANZ'),1,0,0);</v>
      </c>
      <c r="BF32" t="str">
        <f>assignmentSQL('Master Table'!BF32,'Master Table'!BF$1,'Master Table'!$A32,'Master Table'!$B32)</f>
        <v>INSERT INTO Contact_ProductLine_Map (ContactId, ProductLineId, RegionId, IsSales, IsPM, IsUserAdvocate) VALUES ((SELECT ContactId FROM Contact WHERE Name = 'Mark Cranitch'), (SELECT ProductLineId FROM ProductLine WHERE Name = 'EADOC UI Upgrade'), (SELECT RegionID FROM Region WHERE Name = 'ANZ'),1,0,0);</v>
      </c>
      <c r="BG32" t="str">
        <f>assignmentSQL('Master Table'!BG32,'Master Table'!BG$1,'Master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'Deliverables Management'), (SELECT RegionID FROM Region WHERE Name = 'ANZ'),1,0,0);</v>
      </c>
      <c r="BH32" t="str">
        <f>assignmentSQL('Master Table'!BH32,'Master Table'!BH$1,'Master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'Bentley Automation Service CONNECT Edition'), (SELECT RegionID FROM Region WHERE Name = 'ANZ'),1,0,0);</v>
      </c>
      <c r="BI32" t="str">
        <f>assignmentSQL('Master Table'!BI32,'Master Table'!BI$1,'Master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"Field Data Management'), (SELECT RegionID FROM Region WHERE Name = 'ANZ'),1,0,0);</v>
      </c>
      <c r="BJ32" t="str">
        <f>assignmentSQL('Master Table'!BJ32,'Master Table'!BJ$1,'Master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PDF'), (SELECT RegionID FROM Region WHERE Name = 'ANZ'),1,0,0);</v>
      </c>
      <c r="BK32" t="str">
        <f>assignmentSQL('Master Table'!BK32,'Master Table'!BK$1,'Master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InterPlot Server and Interplot Organizer'), (SELECT RegionID FROM Region WHERE Name = 'ANZ'),1,0,0);</v>
      </c>
      <c r="BL32" t="str">
        <f>assignmentSQL('Master Table'!BL32,'Master Table'!BL$1,'Master Table'!$A32,'Master Table'!$B32)</f>
        <v>INSERT INTO Contact_ProductLine_Map (ContactId, ProductLineId, RegionId, IsSales, IsPM, IsUserAdvocate) VALUES ((SELECT ContactId FROM Contact WHERE Name = 'Paul King'), (SELECT ProductLineId FROM ProductLine WHERE Name = 'ProjectWise i-model Composition Server for i-models'), (SELECT RegionID FROM Region WHERE Name = 'ANZ'),1,0,0);</v>
      </c>
    </row>
    <row r="33" spans="3:64" x14ac:dyDescent="0.25">
      <c r="C33" t="str">
        <f>assignmentSQL('Master Table'!C33,'Master Table'!C$1,'Master Table'!$A33,'Master Table'!$B33)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'ANZ'),0,1,0);</v>
      </c>
      <c r="D33" t="str">
        <f>assignmentSQL('Master Table'!D33,'Master Table'!D$1,'Master Table'!$A33,'Master Table'!$B33)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'ANZ'),0,1,0);</v>
      </c>
      <c r="E33" t="str">
        <f>assignmentSQL('Master Table'!E33,'Master Table'!E$1,'Master Table'!$A33,'Master Table'!$B33)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'ANZ'),0,1,0);INSERT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'ANZ'),0,1,0);</v>
      </c>
      <c r="F33" t="str">
        <f>assignmentSQL('Master Table'!F33,'Master Table'!F$1,'Master Table'!$A33,'Master Table'!$B33)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'ANZ'),0,1,0);</v>
      </c>
      <c r="G33" t="str">
        <f>assignmentSQL('Master Table'!G33,'Master Table'!G$1,'Master Table'!$A33,'Master Table'!$B33)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'ANZ'),0,1,0);</v>
      </c>
      <c r="H33" t="str">
        <f>assignmentSQL('Master Table'!H33,'Master Table'!H$1,'Master Table'!$A33,'Master Table'!$B33)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'ANZ'),0,1,0);</v>
      </c>
      <c r="I33" t="str">
        <f>assignmentSQL('Master Table'!I33,'Master Table'!I$1,'Master Table'!$A33,'Master Table'!$B33)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'ANZ'),0,1,0);</v>
      </c>
      <c r="J33" t="str">
        <f>assignmentSQL('Master Table'!J33,'Master Table'!J$1,'Master Table'!$A33,'Master Table'!$B33)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'ANZ'),0,1,0);</v>
      </c>
      <c r="K33" t="str">
        <f>assignmentSQL('Master Table'!K33,'Master Table'!K$1,'Master Table'!$A33,'Master Table'!$B33)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'ANZ'),0,1,0);</v>
      </c>
      <c r="L33" t="str">
        <f>assignmentSQL('Master Table'!L33,'Master Table'!L$1,'Master Table'!$A33,'Master Table'!$B33)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'ANZ'),0,1,0);</v>
      </c>
      <c r="M33" t="str">
        <f>assignmentSQL('Master Table'!M33,'Master Table'!M$1,'Master Table'!$A33,'Master Table'!$B33)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'ANZ'),0,1,0);</v>
      </c>
      <c r="N33" t="str">
        <f>assignmentSQL('Master Table'!N33,'Master Table'!N$1,'Master Table'!$A33,'Master Table'!$B33)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'ANZ'),0,1,0);</v>
      </c>
      <c r="O33" t="str">
        <f>assignmentSQL('Master Table'!O33,'Master Table'!O$1,'Master Table'!$A33,'Master Table'!$B33)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'ANZ'),0,1,0);</v>
      </c>
      <c r="P33" t="str">
        <f>assignmentSQL('Master Table'!P33,'Master Table'!P$1,'Master Table'!$A33,'Master Table'!$B33)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'ANZ'),0,1,0);</v>
      </c>
      <c r="Q33" t="str">
        <f>assignmentSQL('Master Table'!Q33,'Master Table'!Q$1,'Master Table'!$A33,'Master Table'!$B33)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'ANZ'),0,1,0);</v>
      </c>
      <c r="R33" t="str">
        <f>assignmentSQL('Master Table'!R33,'Master Table'!R$1,'Master Table'!$A33,'Master Table'!$B33)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'ANZ'),0,1,0);</v>
      </c>
      <c r="S33" t="str">
        <f>assignmentSQL('Master Table'!S33,'Master Table'!S$1,'Master Table'!$A33,'Master Table'!$B33)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'ANZ'),0,1,0);</v>
      </c>
      <c r="T33" t="str">
        <f>assignmentSQL('Master Table'!T33,'Master Table'!T$1,'Master Table'!$A33,'Master Table'!$B33)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'ANZ'),0,1,0);</v>
      </c>
      <c r="U33" t="str">
        <f>assignmentSQL('Master Table'!U33,'Master Table'!U$1,'Master Table'!$A33,'Master Table'!$B33)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'ANZ'),0,1,0);</v>
      </c>
      <c r="V33" t="str">
        <f>assignmentSQL('Master Table'!V33,'Master Table'!V$1,'Master Table'!$A33,'Master Table'!$B33)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'ANZ'),0,1,0);</v>
      </c>
      <c r="W33" t="str">
        <f>assignmentSQL('Master Table'!W33,'Master Table'!W$1,'Master Table'!$A33,'Master Table'!$B33)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'ANZ'),0,1,0);</v>
      </c>
      <c r="X33" t="str">
        <f>assignmentSQL('Master Table'!X33,'Master Table'!X$1,'Master Table'!$A33,'Master Table'!$B33)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'ANZ'),0,1,0);</v>
      </c>
      <c r="Y33" t="str">
        <f>assignmentSQL('Master Table'!Y33,'Master Table'!Y$1,'Master Table'!$A33,'Master Table'!$B33)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'ANZ'),0,1,0);</v>
      </c>
      <c r="Z33" t="str">
        <f>assignmentSQL('Master Table'!Z33,'Master Table'!Z$1,'Master Table'!$A33,'Master Table'!$B33)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'ANZ'),0,1,0);</v>
      </c>
      <c r="AA33" t="str">
        <f>assignmentSQL('Master Table'!AA33,'Master Table'!AA$1,'Master Table'!$A33,'Master Table'!$B33)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'ANZ'),0,1,0);</v>
      </c>
      <c r="AB33" t="str">
        <f>assignmentSQL('Master Table'!AB33,'Master Table'!AB$1,'Master Table'!$A33,'Master Table'!$B33)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'ANZ'),0,1,0);</v>
      </c>
      <c r="AC33" t="str">
        <f>assignmentSQL('Master Table'!AC33,'Master Table'!AC$1,'Master Table'!$A33,'Master Table'!$B33)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'ANZ'),0,1,0);</v>
      </c>
      <c r="AD33" t="str">
        <f>assignmentSQL('Master Table'!AD33,'Master Table'!AD$1,'Master Table'!$A33,'Master Table'!$B33)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'ANZ'),0,1,0);</v>
      </c>
      <c r="AE33" t="str">
        <f>assignmentSQL('Master Table'!AE33,'Master Table'!AE$1,'Master Table'!$A33,'Master Table'!$B33)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'ANZ'),0,1,0);</v>
      </c>
      <c r="AF33" t="str">
        <f>assignmentSQL('Master Table'!AF33,'Master Table'!AF$1,'Master Table'!$A33,'Master Table'!$B33)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'ANZ'),0,1,0);</v>
      </c>
      <c r="AG33" t="str">
        <f>assignmentSQL('Master Table'!AG33,'Master Table'!AG$1,'Master Table'!$A33,'Master Table'!$B33)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'ANZ'),0,1,0);</v>
      </c>
      <c r="AH33" t="str">
        <f>assignmentSQL('Master Table'!AH33,'Master Table'!AH$1,'Master Table'!$A33,'Master Table'!$B33)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'ANZ'),0,1,0);</v>
      </c>
      <c r="AI33" t="str">
        <f>assignmentSQL('Master Table'!AI33,'Master Table'!AI$1,'Master Table'!$A33,'Master Table'!$B33)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'ANZ'),0,1,0);</v>
      </c>
      <c r="AJ33" t="str">
        <f>assignmentSQL('Master Table'!AJ33,'Master Table'!AJ$1,'Master Table'!$A33,'Master Table'!$B33)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'ANZ'),0,1,0);</v>
      </c>
      <c r="AK33" t="str">
        <f>assignmentSQL('Master Table'!AK33,'Master Table'!AK$1,'Master Table'!$A33,'Master Table'!$B33)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'ANZ'),0,1,0);</v>
      </c>
      <c r="AL33" t="str">
        <f>assignmentSQL('Master Table'!AL33,'Master Table'!AL$1,'Master Table'!$A33,'Master Table'!$B33)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'ANZ'),0,1,0);</v>
      </c>
      <c r="AM33" t="str">
        <f>assignmentSQL('Master Table'!AM33,'Master Table'!AM$1,'Master Table'!$A33,'Master Table'!$B33)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'ANZ'),0,1,0);</v>
      </c>
      <c r="AN33" t="str">
        <f>assignmentSQL('Master Table'!AN33,'Master Table'!AN$1,'Master Table'!$A33,'Master Table'!$B33)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'ANZ'),0,1,0);</v>
      </c>
      <c r="AO33" t="str">
        <f>assignmentSQL('Master Table'!AO33,'Master Table'!AO$1,'Master Table'!$A33,'Master Table'!$B33)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'ANZ'),0,1,0);</v>
      </c>
      <c r="AP33" t="str">
        <f>assignmentSQL('Master Table'!AP33,'Master Table'!AP$1,'Master Table'!$A33,'Master Table'!$B33)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'ANZ'),0,1,0);</v>
      </c>
      <c r="AQ33" t="str">
        <f>assignmentSQL('Master Table'!AQ33,'Master Table'!AQ$1,'Master Table'!$A33,'Master Table'!$B33)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'ANZ'),0,1,0);</v>
      </c>
      <c r="AR33" t="str">
        <f>assignmentSQL('Master Table'!AR33,'Master Table'!AR$1,'Master Table'!$A33,'Master Table'!$B33)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'ANZ'),0,1,0);</v>
      </c>
      <c r="AS33" t="str">
        <f>assignmentSQL('Master Table'!AS33,'Master Table'!AS$1,'Master Table'!$A33,'Master Table'!$B33)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'ANZ'),0,1,0);</v>
      </c>
      <c r="AT33" t="str">
        <f>assignmentSQL('Master Table'!AT33,'Master Table'!AT$1,'Master Table'!$A33,'Master Table'!$B33)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'ANZ'),0,1,0);</v>
      </c>
      <c r="AU33" t="str">
        <f>assignmentSQL('Master Table'!AU33,'Master Table'!AU$1,'Master Table'!$A33,'Master Table'!$B33)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'ANZ'),0,1,0);</v>
      </c>
      <c r="AV33" t="str">
        <f>assignmentSQL('Master Table'!AV33,'Master Table'!AV$1,'Master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'ANZ'),0,1,0);</v>
      </c>
      <c r="AW33" t="str">
        <f>assignmentSQL('Master Table'!AW33,'Master Table'!AW$1,'Master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'ANZ'),0,1,0);</v>
      </c>
      <c r="AX33" t="str">
        <f>assignmentSQL('Master Table'!AX33,'Master Table'!AX$1,'Master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'ANZ'),0,1,0);</v>
      </c>
      <c r="AY33" t="str">
        <f>assignmentSQL('Master Table'!AY33,'Master Table'!AY$1,'Master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'ANZ'),0,1,0);</v>
      </c>
      <c r="AZ33" t="str">
        <f>assignmentSQL('Master Table'!AZ33,'Master Table'!AZ$1,'Master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'ANZ'),0,1,0);</v>
      </c>
      <c r="BA33" t="str">
        <f>assignmentSQL('Master Table'!BA33,'Master Table'!BA$1,'Master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'ANZ'),0,1,0);INSERT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'ANZ'),0,1,0);</v>
      </c>
      <c r="BB33" t="str">
        <f>assignmentSQL('Master Table'!BB33,'Master Table'!BB$1,'Master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'ANZ'),0,1,0);INSERT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'ANZ'),0,1,0);</v>
      </c>
      <c r="BC33" t="str">
        <f>assignmentSQL('Master Table'!BC33,'Master Table'!BC$1,'Master Table'!$A33,'Master Table'!$B33)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'ANZ'),0,1,0);INSERT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'ANZ'),0,1,0);</v>
      </c>
      <c r="BD33" t="str">
        <f>assignmentSQL('Master Table'!BD33,'Master Table'!BD$1,'Master Table'!$A33,'Master Table'!$B33)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'ANZ'),0,1,0);</v>
      </c>
      <c r="BE33" t="str">
        <f>assignmentSQL('Master Table'!BE33,'Master Table'!BE$1,'Master Table'!$A33,'Master Table'!$B33)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'ANZ'),0,1,0);</v>
      </c>
      <c r="BF33" t="str">
        <f>assignmentSQL('Master Table'!BF33,'Master Table'!BF$1,'Master Table'!$A33,'Master Table'!$B33)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'ANZ'),0,1,0);</v>
      </c>
      <c r="BG33" t="str">
        <f>assignmentSQL('Master Table'!BG33,'Master Table'!BG$1,'Master Table'!$A33,'Master Table'!$B33)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'ANZ'),0,1,0);</v>
      </c>
      <c r="BH33" t="str">
        <f>assignmentSQL('Master Table'!BH33,'Master Table'!BH$1,'Master Table'!$A33,'Master Table'!$B33)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'ANZ'),0,1,0);</v>
      </c>
      <c r="BI33" t="str">
        <f>assignmentSQL('Master Table'!BI33,'Master Table'!BI$1,'Master Table'!$A33,'Master Table'!$B33)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'ANZ'),0,1,0);</v>
      </c>
      <c r="BJ33" t="str">
        <f>assignmentSQL('Master Table'!BJ33,'Master Table'!BJ$1,'Master Table'!$A33,'Master Table'!$B33)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'ANZ'),0,1,0);</v>
      </c>
      <c r="BK33" t="str">
        <f>assignmentSQL('Master Table'!BK33,'Master Table'!BK$1,'Master Table'!$A33,'Master Table'!$B33)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'ANZ'),0,1,0);</v>
      </c>
      <c r="BL33" t="str">
        <f>assignmentSQL('Master Table'!BL33,'Master Table'!BL$1,'Master Table'!$A33,'Master Table'!$B33)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'ANZ'),0,1,0);</v>
      </c>
    </row>
    <row r="34" spans="3:64" x14ac:dyDescent="0.25">
      <c r="C34" t="str">
        <f>assignmentSQL('Master Table'!C34,'Master Table'!C$1,'Master Table'!$A34,'Master Table'!$B34)</f>
        <v>INSERT INTO Contact_ProductLine_Map (ContactId, ProductLineId, RegionId, IsSales, IsPM, IsUserAdvocate) VALUES ((SELECT ContactId FROM Contact WHERE Name = 'Madhan Elumalai'), (SELECT ProductLineId FROM ProductLine WHERE Name = 'STAAD'), (SELECT RegionID FROM Region WHERE Name = 'ANZ'),0,0,1);</v>
      </c>
      <c r="D34" t="str">
        <f>assignmentSQL('Master Table'!D34,'Master Table'!D$1,'Master Table'!$A34,'Master Table'!$B34)</f>
        <v>INSERT INTO Contact_ProductLine_Map (ContactId, ProductLineId, RegionId, IsSales, IsPM, IsUserAdvocate) VALUES ((SELECT ContactId FROM Contact WHERE Name = 'Wentao Zheng'), (SELECT ProductLineId FROM ProductLine WHERE Name = 'RAM'), (SELECT RegionID FROM Region WHERE Name = 'ANZ'),0,0,1);</v>
      </c>
      <c r="E34" t="str">
        <f>assignmentSQL('Master Table'!E34,'Master Table'!E$1,'Master Table'!$A34,'Master Table'!$B34)</f>
        <v/>
      </c>
      <c r="F34" t="str">
        <f>assignmentSQL('Master Table'!F34,'Master Table'!F$1,'Master Table'!$A34,'Master Table'!$B34)</f>
        <v>INSERT INTO Contact_ProductLine_Map (ContactId, ProductLineId, RegionId, IsSales, IsPM, IsUserAdvocate) VALUES ((SELECT ContactId FROM Contact WHERE Name = 'Rupesh Kumar'), (SELECT ProductLineId FROM ProductLine WHERE Name = 'SACS'), (SELECT RegionID FROM Region WHERE Name = 'ANZ'),0,0,1);</v>
      </c>
      <c r="G34" t="str">
        <f>assignmentSQL('Master Table'!G34,'Master Table'!G$1,'Master Table'!$A34,'Master Table'!$B34)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'ANZ'),0,0,1);</v>
      </c>
      <c r="H34" t="str">
        <f>assignmentSQL('Master Table'!H34,'Master Table'!H$1,'Master Table'!$A34,'Master Table'!$B34)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'ANZ'),0,0,1);</v>
      </c>
      <c r="I34" t="str">
        <f>assignmentSQL('Master Table'!I34,'Master Table'!I$1,'Master Table'!$A34,'Master Table'!$B34)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'ANZ'),0,0,1);</v>
      </c>
      <c r="J34" t="str">
        <f>assignmentSQL('Master Table'!J34,'Master Table'!J$1,'Master Table'!$A34,'Master Table'!$B34)</f>
        <v>INSERT INTO Contact_ProductLine_Map (ContactId, ProductLineId, RegionId, IsSales, IsPM, IsUserAdvocate) VALUES ((SELECT ContactId FROM Contact WHERE Name = 'Ignacio Almagro'), (SELECT ProductLineId FROM ProductLine WHERE Name = 'LEAP'), (SELECT RegionID FROM Region WHERE Name = 'ANZ'),0,0,1);</v>
      </c>
      <c r="K34" t="str">
        <f>assignmentSQL('Master Table'!K34,'Master Table'!K$1,'Master Table'!$A34,'Master Table'!$B34)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'ANZ'),0,0,1);</v>
      </c>
      <c r="L34" t="str">
        <f>assignmentSQL('Master Table'!L34,'Master Table'!L$1,'Master Table'!$A34,'Master Table'!$B34)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'ANZ'),0,0,1);</v>
      </c>
      <c r="M34" t="str">
        <f>assignmentSQL('Master Table'!M34,'Master Table'!M$1,'Master Table'!$A34,'Master Table'!$B34)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'ANZ'),0,0,1);</v>
      </c>
      <c r="N34" t="str">
        <f>assignmentSQL('Master Table'!N34,'Master Table'!N$1,'Master Table'!$A34,'Master Table'!$B34)</f>
        <v>INSERT INTO Contact_ProductLine_Map (ContactId, ProductLineId, RegionId, IsSales, IsPM, IsUserAdvocate) VALUES ((SELECT ContactId FROM Contact WHERE Name = 'Stuart Milne'), (SELECT ProductLineId FROM ProductLine WHERE Name = 'AECOsim Building Designer'), (SELECT RegionID FROM Region WHERE Name = 'ANZ'),0,0,1);</v>
      </c>
      <c r="O34" t="str">
        <f>assignmentSQL('Master Table'!O34,'Master Table'!O$1,'Master Table'!$A34,'Master Table'!$B34)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'ANZ'),0,0,1);</v>
      </c>
      <c r="P34" t="str">
        <f>assignmentSQL('Master Table'!P34,'Master Table'!P$1,'Master Table'!$A34,'Master Table'!$B34)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'ANZ'),0,0,1);</v>
      </c>
      <c r="Q34" t="str">
        <f>assignmentSQL('Master Table'!Q34,'Master Table'!Q$1,'Master Table'!$A34,'Master Table'!$B34)</f>
        <v>INSERT INTO Contact_ProductLine_Map (ContactId, ProductLineId, RegionId, IsSales, IsPM, IsUserAdvocate) VALUES ((SELECT ContactId FROM Contact WHERE Name = 'Dave Body'), (SELECT ProductLineId FROM ProductLine WHERE Name = 'GEOPAK'), (SELECT RegionID FROM Region WHERE Name = 'ANZ'),0,0,1);</v>
      </c>
      <c r="R34" t="str">
        <f>assignmentSQL('Master Table'!R34,'Master Table'!R$1,'Master Table'!$A34,'Master Table'!$B34)</f>
        <v>INSERT INTO Contact_ProductLine_Map (ContactId, ProductLineId, RegionId, IsSales, IsPM, IsUserAdvocate) VALUES ((SELECT ContactId FROM Contact WHERE Name = 'Paul Cusack'), (SELECT ProductLineId FROM ProductLine WHERE Name = 'InRoads'), (SELECT RegionID FROM Region WHERE Name = 'ANZ'),0,0,1);</v>
      </c>
      <c r="S34" t="str">
        <f>assignmentSQL('Master Table'!S34,'Master Table'!S$1,'Master Table'!$A34,'Master Table'!$B34)</f>
        <v>INSERT INTO Contact_ProductLine_Map (ContactId, ProductLineId, RegionId, IsSales, IsPM, IsUserAdvocate) VALUES ((SELECT ContactId FROM Contact WHERE Name = 'Alan Benger'), (SELECT ProductLineId FROM ProductLine WHERE Name = 'MX'), (SELECT RegionID FROM Region WHERE Name = 'ANZ'),0,0,1);</v>
      </c>
      <c r="T34" t="str">
        <f>assignmentSQL('Master Table'!T34,'Master Table'!T$1,'Master Table'!$A34,'Master Table'!$B34)</f>
        <v>INSERT INTO Contact_ProductLine_Map (ContactId, ProductLineId, RegionId, IsSales, IsPM, IsUserAdvocate) VALUES ((SELECT ContactId FROM Contact WHERE Name = 'Paul Cusack'), (SELECT ProductLineId FROM ProductLine WHERE Name = 'OpenRail'), (SELECT RegionID FROM Region WHERE Name = 'ANZ'),0,0,1);</v>
      </c>
      <c r="U34" t="str">
        <f>assignmentSQL('Master Table'!U34,'Master Table'!U$1,'Master Table'!$A34,'Master Table'!$B34)</f>
        <v>INSERT INTO Contact_ProductLine_Map (ContactId, ProductLineId, RegionId, IsSales, IsPM, IsUserAdvocate) VALUES ((SELECT ContactId FROM Contact WHERE Name = 'Dave Body'), (SELECT ProductLineId FROM ProductLine WHERE Name = 'OpenRoads'), (SELECT RegionID FROM Region WHERE Name = 'ANZ'),0,0,1);</v>
      </c>
      <c r="V34" t="str">
        <f>assignmentSQL('Master Table'!V34,'Master Table'!V$1,'Master Table'!$A34,'Master Table'!$B34)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'ANZ'),0,0,1);</v>
      </c>
      <c r="W34" t="str">
        <f>assignmentSQL('Master Table'!W34,'Master Table'!W$1,'Master Table'!$A34,'Master Table'!$B34)</f>
        <v>INSERT INTO Contact_ProductLine_Map (ContactId, ProductLineId, RegionId, IsSales, IsPM, IsUserAdvocate) VALUES ((SELECT ContactId FROM Contact WHERE Name = 'Ian Joyce'), (SELECT ProductLineId FROM ProductLine WHERE Name = 'gINT'), (SELECT RegionID FROM Region WHERE Name = 'ANZ'),0,0,1);</v>
      </c>
      <c r="X34" t="str">
        <f>assignmentSQL('Master Table'!X34,'Master Table'!X$1,'Master Table'!$A34,'Master Table'!$B34)</f>
        <v>INSERT INTO Contact_ProductLine_Map (ContactId, ProductLineId, RegionId, IsSales, IsPM, IsUserAdvocate) VALUES ((SELECT ContactId FROM Contact WHERE Name = 'Patrick Wicki'), (SELECT ProductLineId FROM ProductLine WHERE Name = 'AutoPLANT'), (SELECT RegionID FROM Region WHERE Name = 'ANZ'),0,0,1);</v>
      </c>
      <c r="Y34" t="str">
        <f>assignmentSQL('Master Table'!Y34,'Master Table'!Y$1,'Master Table'!$A34,'Master Table'!$B34)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'ANZ'),0,0,1);</v>
      </c>
      <c r="Z34" t="str">
        <f>assignmentSQL('Master Table'!Z34,'Master Table'!Z$1,'Master Table'!$A34,'Master Table'!$B34)</f>
        <v>INSERT INTO Contact_ProductLine_Map (ContactId, ProductLineId, RegionId, IsSales, IsPM, IsUserAdvocate) VALUES ((SELECT ContactId FROM Contact WHERE Name = 'Patrick Wicki'), (SELECT ProductLineId FROM ProductLine WHERE Name = 'OpenPlant'), (SELECT RegionID FROM Region WHERE Name = 'ANZ'),0,0,1);</v>
      </c>
      <c r="AA34" t="str">
        <f>assignmentSQL('Master Table'!AA34,'Master Table'!AA$1,'Master Table'!$A34,'Master Table'!$B34)</f>
        <v>INSERT INTO Contact_ProductLine_Map (ContactId, ProductLineId, RegionId, IsSales, IsPM, IsUserAdvocate) VALUES ((SELECT ContactId FROM Contact WHERE Name = 'Jawwad Baig'), (SELECT ProductLineId FROM ProductLine WHERE Name = 'PlantSpace'), (SELECT RegionID FROM Region WHERE Name = 'ANZ'),0,0,1);</v>
      </c>
      <c r="AB34" t="str">
        <f>assignmentSQL('Master Table'!AB34,'Master Table'!AB$1,'Master Table'!$A34,'Master Table'!$B34)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'ANZ'),0,0,1);</v>
      </c>
      <c r="AC34" t="str">
        <f>assignmentSQL('Master Table'!AC34,'Master Table'!AC$1,'Master Table'!$A34,'Master Table'!$B34)</f>
        <v>INSERT INTO Contact_ProductLine_Map (ContactId, ProductLineId, RegionId, IsSales, IsPM, IsUserAdvocate) VALUES ((SELECT ContactId FROM Contact WHERE Name = 'Muhammad Salheen'), (SELECT ProductLineId FROM ProductLine WHERE Name = 'Plantwise'), (SELECT RegionID FROM Region WHERE Name = 'ANZ'),0,0,1);</v>
      </c>
      <c r="AD34" t="str">
        <f>assignmentSQL('Master Table'!AD34,'Master Table'!AD$1,'Master Table'!$A34,'Master Table'!$B34)</f>
        <v>INSERT INTO Contact_ProductLine_Map (ContactId, ProductLineId, RegionId, IsSales, IsPM, IsUserAdvocate) VALUES ((SELECT ContactId FROM Contact WHERE Name = 'Dave Body'), (SELECT ProductLineId FROM ProductLine WHERE Name = 'Pointools'), (SELECT RegionID FROM Region WHERE Name = 'ANZ'),0,0,1);</v>
      </c>
      <c r="AE34" t="str">
        <f>assignmentSQL('Master Table'!AE34,'Master Table'!AE$1,'Master Table'!$A34,'Master Table'!$B34)</f>
        <v>INSERT INTO Contact_ProductLine_Map (ContactId, ProductLineId, RegionId, IsSales, IsPM, IsUserAdvocate) VALUES ((SELECT ContactId FROM Contact WHERE Name = 'Alan Benger'), (SELECT ProductLineId FROM ProductLine WHERE Name = 'LumenRT'), (SELECT RegionID FROM Region WHERE Name = 'ANZ'),0,0,1);</v>
      </c>
      <c r="AF34" t="str">
        <f>assignmentSQL('Master Table'!AF34,'Master Table'!AF$1,'Master Table'!$A34,'Master Table'!$B34)</f>
        <v>INSERT INTO Contact_ProductLine_Map (ContactId, ProductLineId, RegionId, IsSales, IsPM, IsUserAdvocate) VALUES ((SELECT ContactId FROM Contact WHERE Name = 'Dave Body'), (SELECT ProductLineId FROM ProductLine WHERE Name = 'ContextCapture'), (SELECT RegionID FROM Region WHERE Name = 'ANZ'),0,0,1);</v>
      </c>
      <c r="AG34" t="str">
        <f>assignmentSQL('Master Table'!AG34,'Master Table'!AG$1,'Master Table'!$A34,'Master Table'!$B34)</f>
        <v>INSERT INTO Contact_ProductLine_Map (ContactId, ProductLineId, RegionId, IsSales, IsPM, IsUserAdvocate) VALUES ((SELECT ContactId FROM Contact WHERE Name = 'Paul Cusack'), (SELECT ProductLineId FROM ProductLine WHERE Name = 'Descartes'), (SELECT RegionID FROM Region WHERE Name = 'ANZ'),0,0,1);</v>
      </c>
      <c r="AH34" t="str">
        <f>assignmentSQL('Master Table'!AH34,'Master Table'!AH$1,'Master Table'!$A34,'Master Table'!$B34)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'ANZ'),0,0,1);</v>
      </c>
      <c r="AI34" t="str">
        <f>assignmentSQL('Master Table'!AI34,'Master Table'!AI$1,'Master Table'!$A34,'Master Table'!$B34)</f>
        <v>INSERT INTO Contact_ProductLine_Map (ContactId, ProductLineId, RegionId, IsSales, IsPM, IsUserAdvocate) VALUES ((SELECT ContactId FROM Contact WHERE Name = 'Lawrence Yong'), (SELECT ProductLineId FROM ProductLine WHERE Name = 'promis*e'), (SELECT RegionID FROM Region WHERE Name = 'ANZ'),0,0,1);</v>
      </c>
      <c r="AJ34" t="str">
        <f>assignmentSQL('Master Table'!AJ34,'Master Table'!AJ$1,'Master Table'!$A34,'Master Table'!$B34)</f>
        <v>INSERT INTO Contact_ProductLine_Map (ContactId, ProductLineId, RegionId, IsSales, IsPM, IsUserAdvocate) VALUES ((SELECT ContactId FROM Contact WHERE Name = 'Engteck Soon'), (SELECT ProductLineId FROM ProductLine WHERE Name = 'AssetWise'), (SELECT RegionID FROM Region WHERE Name = 'ANZ'),0,0,1);</v>
      </c>
      <c r="AK34" t="str">
        <f>assignmentSQL('Master Table'!AK34,'Master Table'!AK$1,'Master Table'!$A34,'Master Table'!$B34)</f>
        <v>INSERT INTO Contact_ProductLine_Map (ContactId, ProductLineId, RegionId, IsSales, IsPM, IsUserAdvocate) VALUES ((SELECT ContactId FROM Contact WHERE Name = 'Engteck Soon'), (SELECT ProductLineId FROM ProductLine WHERE Name = 'AssetWise APM'), (SELECT RegionID FROM Region WHERE Name = 'ANZ'),0,0,1);</v>
      </c>
      <c r="AL34" t="str">
        <f>assignmentSQL('Master Table'!AL34,'Master Table'!AL$1,'Master Table'!$A34,'Master Table'!$B34)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'ANZ'),0,0,1);</v>
      </c>
      <c r="AM34" t="str">
        <f>assignmentSQL('Master Table'!AM34,'Master Table'!AM$1,'Master Table'!$A34,'Master Table'!$B34)</f>
        <v>INSERT INTO Contact_ProductLine_Map (ContactId, ProductLineId, RegionId, IsSales, IsPM, IsUserAdvocate) VALUES ((SELECT ContactId FROM Contact WHERE Name = 'Linda Oliveira'), (SELECT ProductLineId FROM ProductLine WHERE Name = 'Map'), (SELECT RegionID FROM Region WHERE Name = 'ANZ'),0,0,1);</v>
      </c>
      <c r="AN34" t="str">
        <f>assignmentSQL('Master Table'!AN34,'Master Table'!AN$1,'Master Table'!$A34,'Master Table'!$B34)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'ANZ'),0,0,1);</v>
      </c>
      <c r="AO34" t="str">
        <f>assignmentSQL('Master Table'!AO34,'Master Table'!AO$1,'Master Table'!$A34,'Master Table'!$B34)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'ANZ'),0,0,1);</v>
      </c>
      <c r="AP34" t="str">
        <f>assignmentSQL('Master Table'!AP34,'Master Table'!AP$1,'Master Table'!$A34,'Master Table'!$B34)</f>
        <v>INSERT INTO Contact_ProductLine_Map (ContactId, ProductLineId, RegionId, IsSales, IsPM, IsUserAdvocate) VALUES ((SELECT ContactId FROM Contact WHERE Name = 'Kristen Dietrich'), (SELECT ProductLineId FROM ProductLine WHERE Name = 'Haestad'), (SELECT RegionID FROM Region WHERE Name = 'ANZ'),0,0,1);</v>
      </c>
      <c r="AQ34" t="str">
        <f>assignmentSQL('Master Table'!AQ34,'Master Table'!AQ$1,'Master Table'!$A34,'Master Table'!$B34)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'ANZ'),0,0,1);</v>
      </c>
      <c r="AR34" t="str">
        <f>assignmentSQL('Master Table'!AR34,'Master Table'!AR$1,'Master Table'!$A34,'Master Table'!$B34)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'ANZ'),0,0,1);</v>
      </c>
      <c r="AS34" t="str">
        <f>assignmentSQL('Master Table'!AS34,'Master Table'!AS$1,'Master Table'!$A34,'Master Table'!$B34)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'ANZ'),0,0,1);</v>
      </c>
      <c r="AT34" t="str">
        <f>assignmentSQL('Master Table'!AT34,'Master Table'!AT$1,'Master Table'!$A34,'Master Table'!$B34)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'ANZ'),0,0,1);</v>
      </c>
      <c r="AU34" t="str">
        <f>assignmentSQL('Master Table'!AU34,'Master Table'!AU$1,'Master Table'!$A34,'Master Table'!$B34)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'ANZ'),0,0,1);</v>
      </c>
      <c r="AV34" t="str">
        <f>assignmentSQL('Master Table'!AV34,'Master Table'!AV$1,'Master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Design Integration'), (SELECT RegionID FROM Region WHERE Name = 'ANZ'),0,0,1);</v>
      </c>
      <c r="AW34" t="str">
        <f>assignmentSQL('Master Table'!AW34,'Master Table'!AW$1,'Master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Issues Resolution'), (SELECT RegionID FROM Region WHERE Name = 'ANZ'),0,0,1);</v>
      </c>
      <c r="AX34" t="str">
        <f>assignmentSQL('Master Table'!AX34,'Master Table'!AX$1,'Master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Explorer Civil 3D Integration Module'), (SELECT RegionID FROM Region WHERE Name = 'ANZ'),0,0,1);</v>
      </c>
      <c r="AY34" t="str">
        <f>assignmentSQL('Master Table'!AY34,'Master Table'!AY$1,'Master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Explorer Revit Integration Module'), (SELECT RegionID FROM Region WHERE Name = 'ANZ'),0,0,1);</v>
      </c>
      <c r="AZ34" t="str">
        <f>assignmentSQL('Master Table'!AZ34,'Master Table'!AZ$1,'Master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Explorer Office Integration Module'), (SELECT RegionID FROM Region WHERE Name = 'ANZ'),0,0,1);</v>
      </c>
      <c r="BA34" t="str">
        <f>assignmentSQL('Master Table'!BA34,'Master Table'!BA$1,'Master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Edge Mobile'), (SELECT RegionID FROM Region WHERE Name = 'ANZ'),0,0,1);</v>
      </c>
      <c r="BB34" t="str">
        <f>assignmentSQL('Master Table'!BB34,'Master Table'!BB$1,'Master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WorkSite'), (SELECT RegionID FROM Region WHERE Name = 'ANZ'),0,0,1);</v>
      </c>
      <c r="BC34" t="str">
        <f>assignmentSQL('Master Table'!BC34,'Master Table'!BC$1,'Master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Edge'), (SELECT RegionID FROM Region WHERE Name = 'ANZ'),0,0,1);</v>
      </c>
      <c r="BD34" t="str">
        <f>assignmentSQL('Master Table'!BD34,'Master Table'!BD$1,'Master Table'!$A34,'Master Table'!$B34)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'ANZ'),0,0,1);</v>
      </c>
      <c r="BE34" t="str">
        <f>assignmentSQL('Master Table'!BE34,'Master Table'!BE$1,'Master Table'!$A34,'Master Table'!$B34)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'ANZ'),0,0,1);</v>
      </c>
      <c r="BF34" t="str">
        <f>assignmentSQL('Master Table'!BF34,'Master Table'!BF$1,'Master Table'!$A34,'Master Table'!$B34)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'ANZ'),0,0,1);</v>
      </c>
      <c r="BG34" t="str">
        <f>assignmentSQL('Master Table'!BG34,'Master Table'!BG$1,'Master Table'!$A34,'Master Table'!$B34)</f>
        <v>INSERT INTO Contact_ProductLine_Map (ContactId, ProductLineId, RegionId, IsSales, IsPM, IsUserAdvocate) VALUES ((SELECT ContactId FROM Contact WHERE Name = 'Molly Watts'), (SELECT ProductLineId FROM ProductLine WHERE Name = 'Deliverables Management'), (SELECT RegionID FROM Region WHERE Name = 'ANZ'),0,0,1);</v>
      </c>
      <c r="BH34" t="str">
        <f>assignmentSQL('Master Table'!BH34,'Master Table'!BH$1,'Master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'ANZ'),0,0,1);</v>
      </c>
      <c r="BI34" t="str">
        <f>assignmentSQL('Master Table'!BI34,'Master Table'!BI$1,'Master Table'!$A34,'Master Table'!$B34)</f>
        <v>INSERT INTO Contact_ProductLine_Map (ContactId, ProductLineId, RegionId, IsSales, IsPM, IsUserAdvocate) VALUES ((SELECT ContactId FROM Contact WHERE Name = 'Justinas Verbickas'), (SELECT ProductLineId FROM ProductLine WHERE Name = 'ProjectWise "Field Data Management'), (SELECT RegionID FROM Region WHERE Name = 'ANZ'),0,0,1);</v>
      </c>
      <c r="BJ34" t="str">
        <f>assignmentSQL('Master Table'!BJ34,'Master Table'!BJ$1,'Master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'ANZ'),0,0,1);</v>
      </c>
      <c r="BK34" t="str">
        <f>assignmentSQL('Master Table'!BK34,'Master Table'!BK$1,'Master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InterPlot Server and Interplot Organizer'), (SELECT RegionID FROM Region WHERE Name = 'ANZ'),0,0,1);</v>
      </c>
      <c r="BL34" t="str">
        <f>assignmentSQL('Master Table'!BL34,'Master Table'!BL$1,'Master Table'!$A34,'Master Table'!$B34)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i-models'), (SELECT RegionID FROM Region WHERE Name = 'ANZ'),0,0,1);</v>
      </c>
    </row>
    <row r="35" spans="3:64" x14ac:dyDescent="0.25">
      <c r="C35" t="str">
        <f>assignmentSQL('Master Table'!C35,'Master Table'!C$1,'Master Table'!$A35,'Master Table'!$B35)</f>
        <v>INSERT INTO Contact_ProductLine_Map (ContactId, ProductLineId, RegionId, IsSales, IsPM, IsUserAdvocate) VALUES ((SELECT ContactId FROM Contact WHERE Name = 'David McGovern'), (SELECT ProductLineId FROM ProductLine WHERE Name = 'STAAD'), (SELECT RegionID FROM Region WHERE Name = 'EU2'),1,0,0);</v>
      </c>
      <c r="D35" t="str">
        <f>assignmentSQL('Master Table'!D35,'Master Table'!D$1,'Master Table'!$A35,'Master Table'!$B35)</f>
        <v>INSERT INTO Contact_ProductLine_Map (ContactId, ProductLineId, RegionId, IsSales, IsPM, IsUserAdvocate) VALUES ((SELECT ContactId FROM Contact WHERE Name = 'David McGovern'), (SELECT ProductLineId FROM ProductLine WHERE Name = 'RAM'), (SELECT RegionID FROM Region WHERE Name = 'EU2'),1,0,0);</v>
      </c>
      <c r="E35" t="str">
        <f>assignmentSQL('Master Table'!E35,'Master Table'!E$1,'Master Table'!$A35,'Master Table'!$B35)</f>
        <v>INSERT INTO Contact_ProductLine_Map (ContactId, ProductLineId, RegionId, IsSales, IsPM, IsUserAdvocate) VALUES ((SELECT ContactId FROM Contact WHERE Name = 'David McGovern'), (SELECT ProductLineId FROM ProductLine WHERE Name = 'AUTOPIPE'), (SELECT RegionID FROM Region WHERE Name = 'EU2'),1,0,0);</v>
      </c>
      <c r="F35" t="str">
        <f>assignmentSQL('Master Table'!F35,'Master Table'!F$1,'Master Table'!$A35,'Master Table'!$B35)</f>
        <v>INSERT INTO Contact_ProductLine_Map (ContactId, ProductLineId, RegionId, IsSales, IsPM, IsUserAdvocate) VALUES ((SELECT ContactId FROM Contact WHERE Name = 'David McGovern'), (SELECT ProductLineId FROM ProductLine WHERE Name = 'SACS'), (SELECT RegionID FROM Region WHERE Name = 'EU2'),1,0,0);</v>
      </c>
      <c r="G35" t="str">
        <f>assignmentSQL('Master Table'!G35,'Master Table'!G$1,'Master Table'!$A35,'Master Table'!$B35)</f>
        <v>INSERT INTO Contact_ProductLine_Map (ContactId, ProductLineId, RegionId, IsSales, IsPM, IsUserAdvocate) VALUES ((SELECT ContactId FROM Contact WHERE Name = 'David McGovern'), (SELECT ProductLineId FROM ProductLine WHERE Name = 'MAXSURF'), (SELECT RegionID FROM Region WHERE Name = 'EU2'),1,0,0);</v>
      </c>
      <c r="H35" t="str">
        <f>assignmentSQL('Master Table'!H35,'Master Table'!H$1,'Master Table'!$A35,'Master Table'!$B35)</f>
        <v>INSERT INTO Contact_ProductLine_Map (ContactId, ProductLineId, RegionId, IsSales, IsPM, IsUserAdvocate) VALUES ((SELECT ContactId FROM Contact WHERE Name = 'David McGovern'), (SELECT ProductLineId FROM ProductLine WHERE Name = 'MOSES'), (SELECT RegionID FROM Region WHERE Name = 'EU2'),1,0,0);</v>
      </c>
      <c r="I35" t="str">
        <f>assignmentSQL('Master Table'!I35,'Master Table'!I$1,'Master Table'!$A35,'Master Table'!$B35)</f>
        <v/>
      </c>
      <c r="J35" t="str">
        <f>assignmentSQL('Master Table'!J35,'Master Table'!J$1,'Master Table'!$A35,'Master Table'!$B35)</f>
        <v/>
      </c>
      <c r="K35" t="str">
        <f>assignmentSQL('Master Table'!K35,'Master Table'!K$1,'Master Table'!$A35,'Master Table'!$B35)</f>
        <v/>
      </c>
      <c r="L35" t="str">
        <f>assignmentSQL('Master Table'!L35,'Master Table'!L$1,'Master Table'!$A35,'Master Table'!$B35)</f>
        <v/>
      </c>
      <c r="M35" t="str">
        <f>assignmentSQL('Master Table'!M35,'Master Table'!M$1,'Master Table'!$A35,'Master Table'!$B35)</f>
        <v>INSERT INTO Contact_ProductLine_Map (ContactId, ProductLineId, RegionId, IsSales, IsPM, IsUserAdvocate) VALUES ((SELECT ContactId FROM Contact WHERE Name = 'David McGovern'), (SELECT ProductLineId FROM ProductLine WHERE Name = 'SITEOPS'), (SELECT RegionID FROM Region WHERE Name = 'EU2'),1,0,0);</v>
      </c>
      <c r="N35" t="str">
        <f>assignmentSQL('Master Table'!N35,'Master Table'!N$1,'Master Table'!$A35,'Master Table'!$B35)</f>
        <v>INSERT INTO Contact_ProductLine_Map (ContactId, ProductLineId, RegionId, IsSales, IsPM, IsUserAdvocate) VALUES ((SELECT ContactId FROM Contact WHERE Name = 'Mathis Hasle'), (SELECT ProductLineId FROM ProductLine WHERE Name = 'AECOsim Building Designer'),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'AECOsim Building Designer'),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'AECOsim Building Designer'), (SELECT RegionID FROM Region WHERE Name = 'EU2'),1,0,0);</v>
      </c>
      <c r="O35" t="str">
        <f>assignmentSQL('Master Table'!O35,'Master Table'!O$1,'Master Table'!$A35,'Master Table'!$B35)</f>
        <v>INSERT INTO Contact_ProductLine_Map (ContactId, ProductLineId, RegionId, IsSales, IsPM, IsUserAdvocate) VALUES ((SELECT ContactId FROM Contact WHERE Name = 'Mathis Hasle'), (SELECT ProductLineId FROM ProductLine WHERE Name = 'speedikon'),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'speedikon'),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'speedikon'), (SELECT RegionID FROM Region WHERE Name = 'EU2'),1,0,0);</v>
      </c>
      <c r="P35" t="str">
        <f>assignmentSQL('Master Table'!P35,'Master Table'!P$1,'Master Table'!$A35,'Master Table'!$B35)</f>
        <v>INSERT INTO Contact_ProductLine_Map (ContactId, ProductLineId, RegionId, IsSales, IsPM, IsUserAdvocate) VALUES ((SELECT ContactId FROM Contact WHERE Name = 'Mathis Hasle'), (SELECT ProductLineId FROM ProductLine WHERE Name = 'Hevacomp'),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'Hevacomp'),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'Hevacomp'), (SELECT RegionID FROM Region WHERE Name = 'EU2'),1,0,0);</v>
      </c>
      <c r="Q35" t="str">
        <f>assignmentSQL('Master Table'!Q35,'Master Table'!Q$1,'Master Table'!$A35,'Master Table'!$B35)</f>
        <v>INSERT INTO Contact_ProductLine_Map (ContactId, ProductLineId, RegionId, IsSales, IsPM, IsUserAdvocate) VALUES ((SELECT ContactId FROM Contact WHERE Name = 'Rick Black'), (SELECT ProductLineId FROM ProductLine WHERE Name = 'GEOPAK'),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'GEOPAK'), (SELECT RegionID FROM Region WHERE Name = 'EU2'),1,0,0);</v>
      </c>
      <c r="R35" t="str">
        <f>assignmentSQL('Master Table'!R35,'Master Table'!R$1,'Master Table'!$A35,'Master Table'!$B35)</f>
        <v>INSERT INTO Contact_ProductLine_Map (ContactId, ProductLineId, RegionId, IsSales, IsPM, IsUserAdvocate) VALUES ((SELECT ContactId FROM Contact WHERE Name = 'Olga Alexandrova'), (SELECT ProductLineId FROM ProductLine WHERE Name = 'InRoads'), (SELECT RegionID FROM Region WHERE Name = 'EU2'),1,0,0);INSERT INTO Contact_ProductLine_Map (ContactId, ProductLineId, RegionId, IsSales, IsPM, IsUserAdvocate) VALUES ((SELECT ContactId FROM Contact WHERE Name = 'Scott Ryan'), (SELECT ProductLineId FROM ProductLine WHERE Name = 'InRoads'),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'InRoads'), (SELECT RegionID FROM Region WHERE Name = 'EU2'),1,0,0);</v>
      </c>
      <c r="S35" t="str">
        <f>assignmentSQL('Master Table'!S35,'Master Table'!S$1,'Master Table'!$A35,'Master Table'!$B35)</f>
        <v>INSERT INTO Contact_ProductLine_Map (ContactId, ProductLineId, RegionId, IsSales, IsPM, IsUserAdvocate) VALUES ((SELECT ContactId FROM Contact WHERE Name = 'Olga Alexandrova'), (SELECT ProductLineId FROM ProductLine WHERE Name = 'MX'), (SELECT RegionID FROM Region WHERE Name = 'EU2'),1,0,0);INSERT INTO Contact_ProductLine_Map (ContactId, ProductLineId, RegionId, IsSales, IsPM, IsUserAdvocate) VALUES ((SELECT ContactId FROM Contact WHERE Name = 'Scott Ryan'), (SELECT ProductLineId FROM ProductLine WHERE Name = 'MX'),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'MX'), (SELECT RegionID FROM Region WHERE Name = 'EU2'),1,0,0);</v>
      </c>
      <c r="T35" t="str">
        <f>assignmentSQL('Master Table'!T35,'Master Table'!T$1,'Master Table'!$A35,'Master Table'!$B35)</f>
        <v>INSERT INTO Contact_ProductLine_Map (ContactId, ProductLineId, RegionId, IsSales, IsPM, IsUserAdvocate) VALUES ((SELECT ContactId FROM Contact WHERE Name = 'Olga Alexandrova'), (SELECT ProductLineId FROM ProductLine WHERE Name = 'OpenRail'), (SELECT RegionID FROM Region WHERE Name = 'EU2'),1,0,0);INSERT INTO Contact_ProductLine_Map (ContactId, ProductLineId, RegionId, IsSales, IsPM, IsUserAdvocate) VALUES ((SELECT ContactId FROM Contact WHERE Name = 'Scott Ryan'), (SELECT ProductLineId FROM ProductLine WHERE Name = 'OpenRail'),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'OpenRail'), (SELECT RegionID FROM Region WHERE Name = 'EU2'),1,0,0);</v>
      </c>
      <c r="U35" t="str">
        <f>assignmentSQL('Master Table'!U35,'Master Table'!U$1,'Master Table'!$A35,'Master Table'!$B35)</f>
        <v>INSERT INTO Contact_ProductLine_Map (ContactId, ProductLineId, RegionId, IsSales, IsPM, IsUserAdvocate) VALUES ((SELECT ContactId FROM Contact WHERE Name = 'Olga Alexandrova'), (SELECT ProductLineId FROM ProductLine WHERE Name = 'OpenRoads'), (SELECT RegionID FROM Region WHERE Name = 'EU2'),1,0,0);INSERT INTO Contact_ProductLine_Map (ContactId, ProductLineId, RegionId, IsSales, IsPM, IsUserAdvocate) VALUES ((SELECT ContactId FROM Contact WHERE Name = 'Scott Ryan'), (SELECT ProductLineId FROM ProductLine WHERE Name = 'OpenRoads'),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'OpenRoads'), (SELECT RegionID FROM Region WHERE Name = 'EU2'),1,0,0);</v>
      </c>
      <c r="V35" t="str">
        <f>assignmentSQL('Master Table'!V35,'Master Table'!V$1,'Master Table'!$A35,'Master Table'!$B35)</f>
        <v>INSERT INTO Contact_ProductLine_Map (ContactId, ProductLineId, RegionId, IsSales, IsPM, IsUserAdvocate) VALUES ((SELECT ContactId FROM Contact WHERE Name = 'Olga Alexandrova'), (SELECT ProductLineId FROM ProductLine WHERE Name = 'ConceptStation'), (SELECT RegionID FROM Region WHERE Name = 'EU2'),1,0,0);INSERT INTO Contact_ProductLine_Map (ContactId, ProductLineId, RegionId, IsSales, IsPM, IsUserAdvocate) VALUES ((SELECT ContactId FROM Contact WHERE Name = 'Scott Ryan'), (SELECT ProductLineId FROM ProductLine WHERE Name = 'ConceptStation'),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'ConceptStation'), (SELECT RegionID FROM Region WHERE Name = 'EU2'),1,0,0);</v>
      </c>
      <c r="W35" t="str">
        <f>assignmentSQL('Master Table'!W35,'Master Table'!W$1,'Master Table'!$A35,'Master Table'!$B35)</f>
        <v>INSERT INTO Contact_ProductLine_Map (ContactId, ProductLineId, RegionId, IsSales, IsPM, IsUserAdvocate) VALUES ((SELECT ContactId FROM Contact WHERE Name = 'Olga Alexandrova'), (SELECT ProductLineId FROM ProductLine WHERE Name = 'gINT'), (SELECT RegionID FROM Region WHERE Name = 'EU2'),1,0,0);INSERT INTO Contact_ProductLine_Map (ContactId, ProductLineId, RegionId, IsSales, IsPM, IsUserAdvocate) VALUES ((SELECT ContactId FROM Contact WHERE Name = 'Scott Ryan'), (SELECT ProductLineId FROM ProductLine WHERE Name = 'gINT'),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'gINT'), (SELECT RegionID FROM Region WHERE Name = 'EU2'),1,0,0);</v>
      </c>
      <c r="X35" t="str">
        <f>assignmentSQL('Master Table'!X35,'Master Table'!X$1,'Master Table'!$A35,'Master Table'!$B35)</f>
        <v>INSERT INTO Contact_ProductLine_Map (ContactId, ProductLineId, RegionId, IsSales, IsPM, IsUserAdvocate) VALUES ((SELECT ContactId FROM Contact WHERE Name = 'Michael Curran'), (SELECT ProductLineId FROM ProductLine WHERE Name = 'AutoPLANT'),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'AutoPLANT'), (SELECT RegionID FROM Region WHERE Name = 'EU2'),1,0,0);</v>
      </c>
      <c r="Y35" t="str">
        <f>assignmentSQL('Master Table'!Y35,'Master Table'!Y$1,'Master Table'!$A35,'Master Table'!$B35)</f>
        <v>INSERT INTO Contact_ProductLine_Map (ContactId, ProductLineId, RegionId, IsSales, IsPM, IsUserAdvocate) VALUES ((SELECT ContactId FROM Contact WHERE Name = 'Michael Curran'), (SELECT ProductLineId FROM ProductLine WHERE Name = 'AXSYS'),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'AXSYS'), (SELECT RegionID FROM Region WHERE Name = 'EU2'),1,0,0);</v>
      </c>
      <c r="Z35" t="str">
        <f>assignmentSQL('Master Table'!Z35,'Master Table'!Z$1,'Master Table'!$A35,'Master Table'!$B35)</f>
        <v>INSERT INTO Contact_ProductLine_Map (ContactId, ProductLineId, RegionId, IsSales, IsPM, IsUserAdvocate) VALUES ((SELECT ContactId FROM Contact WHERE Name = 'Michael Curran'), (SELECT ProductLineId FROM ProductLine WHERE Name = 'OpenPlant'),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'OpenPlant'), (SELECT RegionID FROM Region WHERE Name = 'EU2'),1,0,0);</v>
      </c>
      <c r="AA35" t="str">
        <f>assignmentSQL('Master Table'!AA35,'Master Table'!AA$1,'Master Table'!$A35,'Master Table'!$B35)</f>
        <v>INSERT INTO Contact_ProductLine_Map (ContactId, ProductLineId, RegionId, IsSales, IsPM, IsUserAdvocate) VALUES ((SELECT ContactId FROM Contact WHERE Name = 'Michael Curran'), (SELECT ProductLineId FROM ProductLine WHERE Name = 'PlantSpace'),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'PlantSpace'), (SELECT RegionID FROM Region WHERE Name = 'EU2'),1,0,0);</v>
      </c>
      <c r="AB35" t="str">
        <f>assignmentSQL('Master Table'!AB35,'Master Table'!AB$1,'Master Table'!$A35,'Master Table'!$B35)</f>
        <v>INSERT INTO Contact_ProductLine_Map (ContactId, ProductLineId, RegionId, IsSales, IsPM, IsUserAdvocate) VALUES ((SELECT ContactId FROM Contact WHERE Name = 'Craven Naidoo'), (SELECT ProductLineId FROM ProductLine WHERE Name = 'MineCycle'), (SELECT RegionID FROM Region WHERE Name = 'EU2'),1,0,0);</v>
      </c>
      <c r="AC35" t="str">
        <f>assignmentSQL('Master Table'!AC35,'Master Table'!AC$1,'Master Table'!$A35,'Master Table'!$B35)</f>
        <v>INSERT INTO Contact_ProductLine_Map (ContactId, ProductLineId, RegionId, IsSales, IsPM, IsUserAdvocate) VALUES ((SELECT ContactId FROM Contact WHERE Name = 'Michael Curran'), (SELECT ProductLineId FROM ProductLine WHERE Name = 'Plantwise'),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'Plantwise'), (SELECT RegionID FROM Region WHERE Name = 'EU2'),1,0,0);</v>
      </c>
      <c r="AD35" t="str">
        <f>assignmentSQL('Master Table'!AD35,'Master Table'!AD$1,'Master Table'!$A35,'Master Table'!$B35)</f>
        <v>INSERT INTO Contact_ProductLine_Map (ContactId, ProductLineId, RegionId, IsSales, IsPM, IsUserAdvocate) VALUES ((SELECT ContactId FROM Contact WHERE Name = 'Mourad Labguira'), (SELECT ProductLineId FROM ProductLine WHERE Name = 'Pointools'),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'Pointools'), (SELECT RegionID FROM Region WHERE Name = 'EU2'),1,0,0);</v>
      </c>
      <c r="AE35" t="str">
        <f>assignmentSQL('Master Table'!AE35,'Master Table'!AE$1,'Master Table'!$A35,'Master Table'!$B35)</f>
        <v>INSERT INTO Contact_ProductLine_Map (ContactId, ProductLineId, RegionId, IsSales, IsPM, IsUserAdvocate) VALUES ((SELECT ContactId FROM Contact WHERE Name = 'Erwin Van Meurs'), (SELECT ProductLineId FROM ProductLine WHERE Name = 'LumenRT'), (SELECT RegionID FROM Region WHERE Name = 'EU2'),1,0,0);INSERT INTO Contact_ProductLine_Map (ContactId, ProductLineId, RegionId, IsSales, IsPM, IsUserAdvocate) VALUES ((SELECT ContactId FROM Contact WHERE Name = 'Mourad Labguira'), (SELECT ProductLineId FROM ProductLine WHERE Name = 'LumenRT'),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'LumenRT'), (SELECT RegionID FROM Region WHERE Name = 'EU2'),1,0,0);</v>
      </c>
      <c r="AF35" t="str">
        <f>assignmentSQL('Master Table'!AF35,'Master Table'!AF$1,'Master Table'!$A35,'Master Table'!$B35)</f>
        <v>INSERT INTO Contact_ProductLine_Map (ContactId, ProductLineId, RegionId, IsSales, IsPM, IsUserAdvocate) VALUES ((SELECT ContactId FROM Contact WHERE Name = 'Mourad Labguira'), (SELECT ProductLineId FROM ProductLine WHERE Name = 'ContextCapture'),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'ContextCapture'), (SELECT RegionID FROM Region WHERE Name = 'EU2'),1,0,0);</v>
      </c>
      <c r="AG35" t="str">
        <f>assignmentSQL('Master Table'!AG35,'Master Table'!AG$1,'Master Table'!$A35,'Master Table'!$B35)</f>
        <v>INSERT INTO Contact_ProductLine_Map (ContactId, ProductLineId, RegionId, IsSales, IsPM, IsUserAdvocate) VALUES ((SELECT ContactId FROM Contact WHERE Name = 'Mourad Labguira'), (SELECT ProductLineId FROM ProductLine WHERE Name = 'Descartes'),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'Descartes'), (SELECT RegionID FROM Region WHERE Name = 'EU2'),1,0,0);</v>
      </c>
      <c r="AH35" t="str">
        <f>assignmentSQL('Master Table'!AH35,'Master Table'!AH$1,'Master Table'!$A35,'Master Table'!$B35)</f>
        <v>INSERT INTO Contact_ProductLine_Map (ContactId, ProductLineId, RegionId, IsSales, IsPM, IsUserAdvocate) VALUES ((SELECT ContactId FROM Contact WHERE Name = 'Mathis Hasle'), (SELECT ProductLineId FROM ProductLine WHERE Name = 'ProStructures'), (SELECT RegionID FROM Region WHERE Name = 'EU2'),1,0,0);INSERT INTO Contact_ProductLine_Map (ContactId, ProductLineId, RegionId, IsSales, IsPM, IsUserAdvocate) VALUES ((SELECT ContactId FROM Contact WHERE Name = 'Stefania Rando'), (SELECT ProductLineId FROM ProductLine WHERE Name = 'ProStructures'),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'ProStructures'), (SELECT RegionID FROM Region WHERE Name = 'EU2'),1,0,0);</v>
      </c>
      <c r="AI35" t="str">
        <f>assignmentSQL('Master Table'!AI35,'Master Table'!AI$1,'Master Table'!$A35,'Master Table'!$B35)</f>
        <v>INSERT INTO Contact_ProductLine_Map (ContactId, ProductLineId, RegionId, IsSales, IsPM, IsUserAdvocate) VALUES ((SELECT ContactId FROM Contact WHERE Name = 'Rick Black'), (SELECT ProductLineId FROM ProductLine WHERE Name = 'promis*e'), (SELECT RegionID FROM Region WHERE Name = 'EU2'),1,0,0);INSERT INTO Contact_ProductLine_Map (ContactId, ProductLineId, RegionId, IsSales, IsPM, IsUserAdvocate) VALUES ((SELECT ContactId FROM Contact WHERE Name = 'Olga Alexandrova'), (SELECT ProductLineId FROM ProductLine WHERE Name = 'promis*e'), (SELECT RegionID FROM Region WHERE Name = 'EU2'),1,0,0);</v>
      </c>
      <c r="AJ35" t="str">
        <f>assignmentSQL('Master Table'!AJ35,'Master Table'!AJ$1,'Master Table'!$A35,'Master Table'!$B35)</f>
        <v>INSERT INTO Contact_ProductLine_Map (ContactId, ProductLineId, RegionId, IsSales, IsPM, IsUserAdvocate) VALUES ((SELECT ContactId FROM Contact WHERE Name = 'Andrew Rhodes'), (SELECT ProductLineId FROM ProductLine WHERE Name = 'AssetWise'), (SELECT RegionID FROM Region WHERE Name = 'EU2'),1,0,0);</v>
      </c>
      <c r="AK35" t="str">
        <f>assignmentSQL('Master Table'!AK35,'Master Table'!AK$1,'Master Table'!$A35,'Master Table'!$B35)</f>
        <v>INSERT INTO Contact_ProductLine_Map (ContactId, ProductLineId, RegionId, IsSales, IsPM, IsUserAdvocate) VALUES ((SELECT ContactId FROM Contact WHERE Name = 'David Smith'), (SELECT ProductLineId FROM ProductLine WHERE Name = 'AssetWise APM'), (SELECT RegionID FROM Region WHERE Name = 'EU2'),1,0,0);</v>
      </c>
      <c r="AL35" t="str">
        <f>assignmentSQL('Master Table'!AL35,'Master Table'!AL$1,'Master Table'!$A35,'Master Table'!$B35)</f>
        <v>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'EU2'),1,0,0);INSERT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'EU2'),1,0,0);</v>
      </c>
      <c r="AM35" t="str">
        <f>assignmentSQL('Master Table'!AM35,'Master Table'!AM$1,'Master Table'!$A35,'Master Table'!$B35)</f>
        <v>INSERT INTO Contact_ProductLine_Map (ContactId, ProductLineId, RegionId, IsSales, IsPM, IsUserAdvocate) VALUES ((SELECT ContactId FROM Contact WHERE Name = 'Darja Kalau'), (SELECT ProductLineId FROM ProductLine WHERE Name = 'Map'), (SELECT RegionID FROM Region WHERE Name = 'EU2'),1,0,0);</v>
      </c>
      <c r="AN35" t="str">
        <f>assignmentSQL('Master Table'!AN35,'Master Table'!AN$1,'Master Table'!$A35,'Master Table'!$B35)</f>
        <v>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'EU2'),1,0,0);INSERT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'EU2'),1,0,0);</v>
      </c>
      <c r="AO35" t="str">
        <f>assignmentSQL('Master Table'!AO35,'Master Table'!AO$1,'Master Table'!$A35,'Master Table'!$B35)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'EU2'),1,0,0);INSERT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'EU2'),1,0,0);</v>
      </c>
      <c r="AP35" t="str">
        <f>assignmentSQL('Master Table'!AP35,'Master Table'!AP$1,'Master Table'!$A35,'Master Table'!$B35)</f>
        <v>INSERT INTO Contact_ProductLine_Map (ContactId, ProductLineId, RegionId, IsSales, IsPM, IsUserAdvocate) VALUES ((SELECT ContactId FROM Contact WHERE Name = 'Slavco Velichkov'), (SELECT ProductLineId FROM ProductLine WHERE Name = 'Haestad'), (SELECT RegionID FROM Region WHERE Name = 'EU2'),1,0,0);</v>
      </c>
      <c r="AQ35" t="str">
        <f>assignmentSQL('Master Table'!AQ35,'Master Table'!AQ$1,'Master Table'!$A35,'Master Table'!$B35)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'EU2'),1,0,0);INSERT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'EU2'),1,0,0);</v>
      </c>
      <c r="AR35" t="str">
        <f>assignmentSQL('Master Table'!AR35,'Master Table'!AR$1,'Master Table'!$A35,'Master Table'!$B35)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'EU2'),1,0,0);</v>
      </c>
      <c r="AS35" t="str">
        <f>assignmentSQL('Master Table'!AS35,'Master Table'!AS$1,'Master Table'!$A35,'Master Table'!$B35)</f>
        <v>INSERT INTO Contact_ProductLine_Map (ContactId, ProductLineId, RegionId, IsSales, IsPM, IsUserAdvocate) VALUES ((SELECT ContactId FROM Contact WHERE Name = 'David Smith'), (SELECT ProductLineId FROM ProductLine WHERE Name = 'Amulet'), (SELECT RegionID FROM Region WHERE Name = 'EU2'),1,0,0);</v>
      </c>
      <c r="AT35" t="str">
        <f>assignmentSQL('Master Table'!AT35,'Master Table'!AT$1,'Master Table'!$A35,'Master Table'!$B35)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'EU2'),1,0,0);</v>
      </c>
      <c r="AU35" t="str">
        <f>assignmentSQL('Master Table'!AU35,'Master Table'!AU$1,'Master Table'!$A35,'Master Table'!$B35)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'EU2'),1,0,0);</v>
      </c>
      <c r="AV35" t="str">
        <f>assignmentSQL('Master Table'!AV35,'Master Table'!AV$1,'Master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Design Integration'), (SELECT RegionID FROM Region WHERE Name = 'EU2'),1,0,0);</v>
      </c>
      <c r="AW35" t="str">
        <f>assignmentSQL('Master Table'!AW35,'Master Table'!AW$1,'Master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Issues Resolution'), (SELECT RegionID FROM Region WHERE Name = 'EU2'),1,0,0);</v>
      </c>
      <c r="AX35" t="str">
        <f>assignmentSQL('Master Table'!AX35,'Master Table'!AX$1,'Master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Explorer Civil 3D Integration Module'), (SELECT RegionID FROM Region WHERE Name = 'EU2'),1,0,0);</v>
      </c>
      <c r="AY35" t="str">
        <f>assignmentSQL('Master Table'!AY35,'Master Table'!AY$1,'Master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Explorer Revit Integration Module'), (SELECT RegionID FROM Region WHERE Name = 'EU2'),1,0,0);</v>
      </c>
      <c r="AZ35" t="str">
        <f>assignmentSQL('Master Table'!AZ35,'Master Table'!AZ$1,'Master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Explorer Office Integration Module'), (SELECT RegionID FROM Region WHERE Name = 'EU2'),1,0,0);</v>
      </c>
      <c r="BA35" t="str">
        <f>assignmentSQL('Master Table'!BA35,'Master Table'!BA$1,'Master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Edge Mobile'), (SELECT RegionID FROM Region WHERE Name = 'EU2'),1,0,0);</v>
      </c>
      <c r="BB35" t="str">
        <f>assignmentSQL('Master Table'!BB35,'Master Table'!BB$1,'Master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WorkSite'), (SELECT RegionID FROM Region WHERE Name = 'EU2'),1,0,0);</v>
      </c>
      <c r="BC35" t="str">
        <f>assignmentSQL('Master Table'!BC35,'Master Table'!BC$1,'Master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Edge'), (SELECT RegionID FROM Region WHERE Name = 'EU2'),1,0,0);</v>
      </c>
      <c r="BD35" t="str">
        <f>assignmentSQL('Master Table'!BD35,'Master Table'!BD$1,'Master Table'!$A35,'Master Table'!$B35)</f>
        <v>INSERT INTO Contact_ProductLine_Map (ContactId, ProductLineId, RegionId, IsSales, IsPM, IsUserAdvocate) VALUES ((SELECT ContactId FROM Contact WHERE Name = 'Rocco Masiello'), (SELECT ProductLineId FROM ProductLine WHERE Name = 'Navigator CE'), (SELECT RegionID FROM Region WHERE Name = 'EU2'),1,0,0);</v>
      </c>
      <c r="BE35" t="str">
        <f>assignmentSQL('Master Table'!BE35,'Master Table'!BE$1,'Master Table'!$A35,'Master Table'!$B35)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'EU2'),1,0,0);</v>
      </c>
      <c r="BF35" t="str">
        <f>assignmentSQL('Master Table'!BF35,'Master Table'!BF$1,'Master Table'!$A35,'Master Table'!$B35)</f>
        <v>INSERT INTO Contact_ProductLine_Map (ContactId, ProductLineId, RegionId, IsSales, IsPM, IsUserAdvocate) VALUES ((SELECT ContactId FROM Contact WHERE Name = 'Eric Law'), (SELECT ProductLineId FROM ProductLine WHERE Name = 'EADOC UI Upgrade'), (SELECT RegionID FROM Region WHERE Name = 'EU2'),1,0,0);</v>
      </c>
      <c r="BG35" t="str">
        <f>assignmentSQL('Master Table'!BG35,'Master Table'!BG$1,'Master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'Deliverables Management'), (SELECT RegionID FROM Region WHERE Name = 'EU2'),1,0,0);</v>
      </c>
      <c r="BH35" t="str">
        <f>assignmentSQL('Master Table'!BH35,'Master Table'!BH$1,'Master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'Bentley Automation Service CONNECT Edition'), (SELECT RegionID FROM Region WHERE Name = 'EU2'),1,0,0);</v>
      </c>
      <c r="BI35" t="str">
        <f>assignmentSQL('Master Table'!BI35,'Master Table'!BI$1,'Master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"Field Data Management'), (SELECT RegionID FROM Region WHERE Name = 'EU2'),1,0,0);</v>
      </c>
      <c r="BJ35" t="str">
        <f>assignmentSQL('Master Table'!BJ35,'Master Table'!BJ$1,'Master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i-model Composition Server for PDF'), (SELECT RegionID FROM Region WHERE Name = 'EU2'),1,0,0);</v>
      </c>
      <c r="BK35" t="str">
        <f>assignmentSQL('Master Table'!BK35,'Master Table'!BK$1,'Master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InterPlot Server and Interplot Organizer'), (SELECT RegionID FROM Region WHERE Name = 'EU2'),1,0,0);</v>
      </c>
      <c r="BL35" t="str">
        <f>assignmentSQL('Master Table'!BL35,'Master Table'!BL$1,'Master Table'!$A35,'Master Table'!$B35)</f>
        <v>INSERT INTO Contact_ProductLine_Map (ContactId, ProductLineId, RegionId, IsSales, IsPM, IsUserAdvocate) VALUES ((SELECT ContactId FROM Contact WHERE Name = 'Stefan Sigvardsson'), (SELECT ProductLineId FROM ProductLine WHERE Name = 'ProjectWise i-model Composition Server for i-models'), (SELECT RegionID FROM Region WHERE Name = 'EU2'),1,0,0);</v>
      </c>
    </row>
    <row r="36" spans="3:64" x14ac:dyDescent="0.25">
      <c r="C36" t="str">
        <f>assignmentSQL('Master Table'!C36,'Master Table'!C$1,'Master Table'!$A36,'Master Table'!$B36)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'EU2'),0,1,0);</v>
      </c>
      <c r="D36" t="str">
        <f>assignmentSQL('Master Table'!D36,'Master Table'!D$1,'Master Table'!$A36,'Master Table'!$B36)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'EU2'),0,1,0);</v>
      </c>
      <c r="E36" t="str">
        <f>assignmentSQL('Master Table'!E36,'Master Table'!E$1,'Master Table'!$A36,'Master Table'!$B36)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'EU2'),0,1,0);INSERT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'EU2'),0,1,0);</v>
      </c>
      <c r="F36" t="str">
        <f>assignmentSQL('Master Table'!F36,'Master Table'!F$1,'Master Table'!$A36,'Master Table'!$B36)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'EU2'),0,1,0);</v>
      </c>
      <c r="G36" t="str">
        <f>assignmentSQL('Master Table'!G36,'Master Table'!G$1,'Master Table'!$A36,'Master Table'!$B36)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'EU2'),0,1,0);</v>
      </c>
      <c r="H36" t="str">
        <f>assignmentSQL('Master Table'!H36,'Master Table'!H$1,'Master Table'!$A36,'Master Table'!$B36)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'EU2'),0,1,0);</v>
      </c>
      <c r="I36" t="str">
        <f>assignmentSQL('Master Table'!I36,'Master Table'!I$1,'Master Table'!$A36,'Master Table'!$B36)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'EU2'),0,1,0);</v>
      </c>
      <c r="J36" t="str">
        <f>assignmentSQL('Master Table'!J36,'Master Table'!J$1,'Master Table'!$A36,'Master Table'!$B36)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'EU2'),0,1,0);</v>
      </c>
      <c r="K36" t="str">
        <f>assignmentSQL('Master Table'!K36,'Master Table'!K$1,'Master Table'!$A36,'Master Table'!$B36)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'EU2'),0,1,0);</v>
      </c>
      <c r="L36" t="str">
        <f>assignmentSQL('Master Table'!L36,'Master Table'!L$1,'Master Table'!$A36,'Master Table'!$B36)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'EU2'),0,1,0);</v>
      </c>
      <c r="M36" t="str">
        <f>assignmentSQL('Master Table'!M36,'Master Table'!M$1,'Master Table'!$A36,'Master Table'!$B36)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'EU2'),0,1,0);</v>
      </c>
      <c r="N36" t="str">
        <f>assignmentSQL('Master Table'!N36,'Master Table'!N$1,'Master Table'!$A36,'Master Table'!$B36)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'EU2'),0,1,0);</v>
      </c>
      <c r="O36" t="str">
        <f>assignmentSQL('Master Table'!O36,'Master Table'!O$1,'Master Table'!$A36,'Master Table'!$B36)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'EU2'),0,1,0);</v>
      </c>
      <c r="P36" t="str">
        <f>assignmentSQL('Master Table'!P36,'Master Table'!P$1,'Master Table'!$A36,'Master Table'!$B36)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'EU2'),0,1,0);</v>
      </c>
      <c r="Q36" t="str">
        <f>assignmentSQL('Master Table'!Q36,'Master Table'!Q$1,'Master Table'!$A36,'Master Table'!$B36)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'EU2'),0,1,0);</v>
      </c>
      <c r="R36" t="str">
        <f>assignmentSQL('Master Table'!R36,'Master Table'!R$1,'Master Table'!$A36,'Master Table'!$B36)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'EU2'),0,1,0);</v>
      </c>
      <c r="S36" t="str">
        <f>assignmentSQL('Master Table'!S36,'Master Table'!S$1,'Master Table'!$A36,'Master Table'!$B36)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'EU2'),0,1,0);</v>
      </c>
      <c r="T36" t="str">
        <f>assignmentSQL('Master Table'!T36,'Master Table'!T$1,'Master Table'!$A36,'Master Table'!$B36)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'EU2'),0,1,0);</v>
      </c>
      <c r="U36" t="str">
        <f>assignmentSQL('Master Table'!U36,'Master Table'!U$1,'Master Table'!$A36,'Master Table'!$B36)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'EU2'),0,1,0);</v>
      </c>
      <c r="V36" t="str">
        <f>assignmentSQL('Master Table'!V36,'Master Table'!V$1,'Master Table'!$A36,'Master Table'!$B36)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'EU2'),0,1,0);</v>
      </c>
      <c r="W36" t="str">
        <f>assignmentSQL('Master Table'!W36,'Master Table'!W$1,'Master Table'!$A36,'Master Table'!$B36)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'EU2'),0,1,0);</v>
      </c>
      <c r="X36" t="str">
        <f>assignmentSQL('Master Table'!X36,'Master Table'!X$1,'Master Table'!$A36,'Master Table'!$B36)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'EU2'),0,1,0);</v>
      </c>
      <c r="Y36" t="str">
        <f>assignmentSQL('Master Table'!Y36,'Master Table'!Y$1,'Master Table'!$A36,'Master Table'!$B36)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'EU2'),0,1,0);</v>
      </c>
      <c r="Z36" t="str">
        <f>assignmentSQL('Master Table'!Z36,'Master Table'!Z$1,'Master Table'!$A36,'Master Table'!$B36)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'EU2'),0,1,0);</v>
      </c>
      <c r="AA36" t="str">
        <f>assignmentSQL('Master Table'!AA36,'Master Table'!AA$1,'Master Table'!$A36,'Master Table'!$B36)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'EU2'),0,1,0);</v>
      </c>
      <c r="AB36" t="str">
        <f>assignmentSQL('Master Table'!AB36,'Master Table'!AB$1,'Master Table'!$A36,'Master Table'!$B36)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'EU2'),0,1,0);</v>
      </c>
      <c r="AC36" t="str">
        <f>assignmentSQL('Master Table'!AC36,'Master Table'!AC$1,'Master Table'!$A36,'Master Table'!$B36)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'EU2'),0,1,0);</v>
      </c>
      <c r="AD36" t="str">
        <f>assignmentSQL('Master Table'!AD36,'Master Table'!AD$1,'Master Table'!$A36,'Master Table'!$B36)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'EU2'),0,1,0);</v>
      </c>
      <c r="AE36" t="str">
        <f>assignmentSQL('Master Table'!AE36,'Master Table'!AE$1,'Master Table'!$A36,'Master Table'!$B36)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'EU2'),0,1,0);</v>
      </c>
      <c r="AF36" t="str">
        <f>assignmentSQL('Master Table'!AF36,'Master Table'!AF$1,'Master Table'!$A36,'Master Table'!$B36)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'EU2'),0,1,0);</v>
      </c>
      <c r="AG36" t="str">
        <f>assignmentSQL('Master Table'!AG36,'Master Table'!AG$1,'Master Table'!$A36,'Master Table'!$B36)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'EU2'),0,1,0);</v>
      </c>
      <c r="AH36" t="str">
        <f>assignmentSQL('Master Table'!AH36,'Master Table'!AH$1,'Master Table'!$A36,'Master Table'!$B36)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'EU2'),0,1,0);</v>
      </c>
      <c r="AI36" t="str">
        <f>assignmentSQL('Master Table'!AI36,'Master Table'!AI$1,'Master Table'!$A36,'Master Table'!$B36)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'EU2'),0,1,0);</v>
      </c>
      <c r="AJ36" t="str">
        <f>assignmentSQL('Master Table'!AJ36,'Master Table'!AJ$1,'Master Table'!$A36,'Master Table'!$B36)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'EU2'),0,1,0);</v>
      </c>
      <c r="AK36" t="str">
        <f>assignmentSQL('Master Table'!AK36,'Master Table'!AK$1,'Master Table'!$A36,'Master Table'!$B36)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'EU2'),0,1,0);</v>
      </c>
      <c r="AL36" t="str">
        <f>assignmentSQL('Master Table'!AL36,'Master Table'!AL$1,'Master Table'!$A36,'Master Table'!$B36)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'EU2'),0,1,0);</v>
      </c>
      <c r="AM36" t="str">
        <f>assignmentSQL('Master Table'!AM36,'Master Table'!AM$1,'Master Table'!$A36,'Master Table'!$B36)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'EU2'),0,1,0);</v>
      </c>
      <c r="AN36" t="str">
        <f>assignmentSQL('Master Table'!AN36,'Master Table'!AN$1,'Master Table'!$A36,'Master Table'!$B36)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'EU2'),0,1,0);</v>
      </c>
      <c r="AO36" t="str">
        <f>assignmentSQL('Master Table'!AO36,'Master Table'!AO$1,'Master Table'!$A36,'Master Table'!$B36)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'EU2'),0,1,0);</v>
      </c>
      <c r="AP36" t="str">
        <f>assignmentSQL('Master Table'!AP36,'Master Table'!AP$1,'Master Table'!$A36,'Master Table'!$B36)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'EU2'),0,1,0);</v>
      </c>
      <c r="AQ36" t="str">
        <f>assignmentSQL('Master Table'!AQ36,'Master Table'!AQ$1,'Master Table'!$A36,'Master Table'!$B36)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'EU2'),0,1,0);</v>
      </c>
      <c r="AR36" t="str">
        <f>assignmentSQL('Master Table'!AR36,'Master Table'!AR$1,'Master Table'!$A36,'Master Table'!$B36)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'EU2'),0,1,0);</v>
      </c>
      <c r="AS36" t="str">
        <f>assignmentSQL('Master Table'!AS36,'Master Table'!AS$1,'Master Table'!$A36,'Master Table'!$B36)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'EU2'),0,1,0);</v>
      </c>
      <c r="AT36" t="str">
        <f>assignmentSQL('Master Table'!AT36,'Master Table'!AT$1,'Master Table'!$A36,'Master Table'!$B36)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'EU2'),0,1,0);</v>
      </c>
      <c r="AU36" t="str">
        <f>assignmentSQL('Master Table'!AU36,'Master Table'!AU$1,'Master Table'!$A36,'Master Table'!$B36)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'EU2'),0,1,0);</v>
      </c>
      <c r="AV36" t="str">
        <f>assignmentSQL('Master Table'!AV36,'Master Table'!AV$1,'Master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'EU2'),0,1,0);</v>
      </c>
      <c r="AW36" t="str">
        <f>assignmentSQL('Master Table'!AW36,'Master Table'!AW$1,'Master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'EU2'),0,1,0);</v>
      </c>
      <c r="AX36" t="str">
        <f>assignmentSQL('Master Table'!AX36,'Master Table'!AX$1,'Master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'EU2'),0,1,0);</v>
      </c>
      <c r="AY36" t="str">
        <f>assignmentSQL('Master Table'!AY36,'Master Table'!AY$1,'Master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'EU2'),0,1,0);</v>
      </c>
      <c r="AZ36" t="str">
        <f>assignmentSQL('Master Table'!AZ36,'Master Table'!AZ$1,'Master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'EU2'),0,1,0);</v>
      </c>
      <c r="BA36" t="str">
        <f>assignmentSQL('Master Table'!BA36,'Master Table'!BA$1,'Master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'EU2'),0,1,0);INSERT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'EU2'),0,1,0);</v>
      </c>
      <c r="BB36" t="str">
        <f>assignmentSQL('Master Table'!BB36,'Master Table'!BB$1,'Master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'EU2'),0,1,0);INSERT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'EU2'),0,1,0);</v>
      </c>
      <c r="BC36" t="str">
        <f>assignmentSQL('Master Table'!BC36,'Master Table'!BC$1,'Master Table'!$A36,'Master Table'!$B36)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'EU2'),0,1,0);INSERT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'EU2'),0,1,0);</v>
      </c>
      <c r="BD36" t="str">
        <f>assignmentSQL('Master Table'!BD36,'Master Table'!BD$1,'Master Table'!$A36,'Master Table'!$B36)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'EU2'),0,1,0);</v>
      </c>
      <c r="BE36" t="str">
        <f>assignmentSQL('Master Table'!BE36,'Master Table'!BE$1,'Master Table'!$A36,'Master Table'!$B36)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'EU2'),0,1,0);</v>
      </c>
      <c r="BF36" t="str">
        <f>assignmentSQL('Master Table'!BF36,'Master Table'!BF$1,'Master Table'!$A36,'Master Table'!$B36)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'EU2'),0,1,0);</v>
      </c>
      <c r="BG36" t="str">
        <f>assignmentSQL('Master Table'!BG36,'Master Table'!BG$1,'Master Table'!$A36,'Master Table'!$B36)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'EU2'),0,1,0);</v>
      </c>
      <c r="BH36" t="str">
        <f>assignmentSQL('Master Table'!BH36,'Master Table'!BH$1,'Master Table'!$A36,'Master Table'!$B36)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'EU2'),0,1,0);</v>
      </c>
      <c r="BI36" t="str">
        <f>assignmentSQL('Master Table'!BI36,'Master Table'!BI$1,'Master Table'!$A36,'Master Table'!$B36)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'EU2'),0,1,0);</v>
      </c>
      <c r="BJ36" t="str">
        <f>assignmentSQL('Master Table'!BJ36,'Master Table'!BJ$1,'Master Table'!$A36,'Master Table'!$B36)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'EU2'),0,1,0);</v>
      </c>
      <c r="BK36" t="str">
        <f>assignmentSQL('Master Table'!BK36,'Master Table'!BK$1,'Master Table'!$A36,'Master Table'!$B36)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'EU2'),0,1,0);</v>
      </c>
      <c r="BL36" t="str">
        <f>assignmentSQL('Master Table'!BL36,'Master Table'!BL$1,'Master Table'!$A36,'Master Table'!$B36)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'EU2'),0,1,0);</v>
      </c>
    </row>
    <row r="37" spans="3:64" x14ac:dyDescent="0.25">
      <c r="C37" t="str">
        <f>assignmentSQL('Master Table'!C37,'Master Table'!C$1,'Master Table'!$A37,'Master Table'!$B37)</f>
        <v>INSERT INTO Contact_ProductLine_Map (ContactId, ProductLineId, RegionId, IsSales, IsPM, IsUserAdvocate) VALUES ((SELECT ContactId FROM Contact WHERE Name = 'Badr Ziane'), (SELECT ProductLineId FROM ProductLine WHERE Name = 'STAAD'), (SELECT RegionID FROM Region WHERE Name = 'EU2'),0,0,1);</v>
      </c>
      <c r="D37" t="str">
        <f>assignmentSQL('Master Table'!D37,'Master Table'!D$1,'Master Table'!$A37,'Master Table'!$B37)</f>
        <v>INSERT INTO Contact_ProductLine_Map (ContactId, ProductLineId, RegionId, IsSales, IsPM, IsUserAdvocate) VALUES ((SELECT ContactId FROM Contact WHERE Name = 'Richard Tully'), (SELECT ProductLineId FROM ProductLine WHERE Name = 'RAM'), (SELECT RegionID FROM Region WHERE Name = 'EU2'),0,0,1);</v>
      </c>
      <c r="E37" t="str">
        <f>assignmentSQL('Master Table'!E37,'Master Table'!E$1,'Master Table'!$A37,'Master Table'!$B37)</f>
        <v/>
      </c>
      <c r="F37" t="str">
        <f>assignmentSQL('Master Table'!F37,'Master Table'!F$1,'Master Table'!$A37,'Master Table'!$B37)</f>
        <v>INSERT INTO Contact_ProductLine_Map (ContactId, ProductLineId, RegionId, IsSales, IsPM, IsUserAdvocate) VALUES ((SELECT ContactId FROM Contact WHERE Name = 'Geoff McDonald'), (SELECT ProductLineId FROM ProductLine WHERE Name = 'SACS'), (SELECT RegionID FROM Region WHERE Name = 'EU2'),0,0,1);</v>
      </c>
      <c r="G37" t="str">
        <f>assignmentSQL('Master Table'!G37,'Master Table'!G$1,'Master Table'!$A37,'Master Table'!$B37)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'EU2'),0,0,1);</v>
      </c>
      <c r="H37" t="str">
        <f>assignmentSQL('Master Table'!H37,'Master Table'!H$1,'Master Table'!$A37,'Master Table'!$B37)</f>
        <v>INSERT INTO Contact_ProductLine_Map (ContactId, ProductLineId, RegionId, IsSales, IsPM, IsUserAdvocate) VALUES ((SELECT ContactId FROM Contact WHERE Name = 'Aswin Bandaru'), (SELECT ProductLineId FROM ProductLine WHERE Name = 'MOSES'), (SELECT RegionID FROM Region WHERE Name = 'EU2'),0,0,1);</v>
      </c>
      <c r="I37" t="str">
        <f>assignmentSQL('Master Table'!I37,'Master Table'!I$1,'Master Table'!$A37,'Master Table'!$B37)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'EU2'),0,0,1);</v>
      </c>
      <c r="J37" t="str">
        <f>assignmentSQL('Master Table'!J37,'Master Table'!J$1,'Master Table'!$A37,'Master Table'!$B37)</f>
        <v>INSERT INTO Contact_ProductLine_Map (ContactId, ProductLineId, RegionId, IsSales, IsPM, IsUserAdvocate) VALUES ((SELECT ContactId FROM Contact WHERE Name = 'Vinay Mysore'), (SELECT ProductLineId FROM ProductLine WHERE Name = 'LEAP'), (SELECT RegionID FROM Region WHERE Name = 'EU2'),0,0,1);</v>
      </c>
      <c r="K37" t="str">
        <f>assignmentSQL('Master Table'!K37,'Master Table'!K$1,'Master Table'!$A37,'Master Table'!$B37)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'EU2'),0,0,1);</v>
      </c>
      <c r="L37" t="str">
        <f>assignmentSQL('Master Table'!L37,'Master Table'!L$1,'Master Table'!$A37,'Master Table'!$B37)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'EU2'),0,0,1);</v>
      </c>
      <c r="M37" t="str">
        <f>assignmentSQL('Master Table'!M37,'Master Table'!M$1,'Master Table'!$A37,'Master Table'!$B37)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'EU2'),0,0,1);</v>
      </c>
      <c r="N37" t="str">
        <f>assignmentSQL('Master Table'!N37,'Master Table'!N$1,'Master Table'!$A37,'Master Table'!$B37)</f>
        <v>INSERT INTO Contact_ProductLine_Map (ContactId, ProductLineId, RegionId, IsSales, IsPM, IsUserAdvocate) VALUES ((SELECT ContactId FROM Contact WHERE Name = 'Mark Lill'), (SELECT ProductLineId FROM ProductLine WHERE Name = 'AECOsim Building Designer'), (SELECT RegionID FROM Region WHERE Name = 'EU2'),0,0,1);</v>
      </c>
      <c r="O37" t="str">
        <f>assignmentSQL('Master Table'!O37,'Master Table'!O$1,'Master Table'!$A37,'Master Table'!$B37)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'EU2'),0,0,1);</v>
      </c>
      <c r="P37" t="str">
        <f>assignmentSQL('Master Table'!P37,'Master Table'!P$1,'Master Table'!$A37,'Master Table'!$B37)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'EU2'),0,0,1);</v>
      </c>
      <c r="Q37" t="str">
        <f>assignmentSQL('Master Table'!Q37,'Master Table'!Q$1,'Master Table'!$A37,'Master Table'!$B37)</f>
        <v>INSERT INTO Contact_ProductLine_Map (ContactId, ProductLineId, RegionId, IsSales, IsPM, IsUserAdvocate) VALUES ((SELECT ContactId FROM Contact WHERE Name = 'Kuljinder Gill'), (SELECT ProductLineId FROM ProductLine WHERE Name = 'GEOPAK'), (SELECT RegionID FROM Region WHERE Name = 'EU2'),0,0,1);</v>
      </c>
      <c r="R37" t="str">
        <f>assignmentSQL('Master Table'!R37,'Master Table'!R$1,'Master Table'!$A37,'Master Table'!$B37)</f>
        <v>INSERT INTO Contact_ProductLine_Map (ContactId, ProductLineId, RegionId, IsSales, IsPM, IsUserAdvocate) VALUES ((SELECT ContactId FROM Contact WHERE Name = 'Kuljinder Gill'), (SELECT ProductLineId FROM ProductLine WHERE Name = 'InRoads'), (SELECT RegionID FROM Region WHERE Name = 'EU2'),0,0,1);</v>
      </c>
      <c r="S37" t="str">
        <f>assignmentSQL('Master Table'!S37,'Master Table'!S$1,'Master Table'!$A37,'Master Table'!$B37)</f>
        <v>INSERT INTO Contact_ProductLine_Map (ContactId, ProductLineId, RegionId, IsSales, IsPM, IsUserAdvocate) VALUES ((SELECT ContactId FROM Contact WHERE Name = 'Kuljinder Gill'), (SELECT ProductLineId FROM ProductLine WHERE Name = 'MX'), (SELECT RegionID FROM Region WHERE Name = 'EU2'),0,0,1);</v>
      </c>
      <c r="T37" t="str">
        <f>assignmentSQL('Master Table'!T37,'Master Table'!T$1,'Master Table'!$A37,'Master Table'!$B37)</f>
        <v>INSERT INTO Contact_ProductLine_Map (ContactId, ProductLineId, RegionId, IsSales, IsPM, IsUserAdvocate) VALUES ((SELECT ContactId FROM Contact WHERE Name = 'Kuljinder Gill'), (SELECT ProductLineId FROM ProductLine WHERE Name = 'OpenRail'), (SELECT RegionID FROM Region WHERE Name = 'EU2'),0,0,1);</v>
      </c>
      <c r="U37" t="str">
        <f>assignmentSQL('Master Table'!U37,'Master Table'!U$1,'Master Table'!$A37,'Master Table'!$B37)</f>
        <v>INSERT INTO Contact_ProductLine_Map (ContactId, ProductLineId, RegionId, IsSales, IsPM, IsUserAdvocate) VALUES ((SELECT ContactId FROM Contact WHERE Name = 'Kuljinder Gill'), (SELECT ProductLineId FROM ProductLine WHERE Name = 'OpenRoads'), (SELECT RegionID FROM Region WHERE Name = 'EU2'),0,0,1);</v>
      </c>
      <c r="V37" t="str">
        <f>assignmentSQL('Master Table'!V37,'Master Table'!V$1,'Master Table'!$A37,'Master Table'!$B37)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'EU2'),0,0,1);</v>
      </c>
      <c r="W37" t="str">
        <f>assignmentSQL('Master Table'!W37,'Master Table'!W$1,'Master Table'!$A37,'Master Table'!$B37)</f>
        <v>INSERT INTO Contact_ProductLine_Map (ContactId, ProductLineId, RegionId, IsSales, IsPM, IsUserAdvocate) VALUES ((SELECT ContactId FROM Contact WHERE Name = 'Eva Cantarero'), (SELECT ProductLineId FROM ProductLine WHERE Name = 'gINT'), (SELECT RegionID FROM Region WHERE Name = 'EU2'),0,0,1);</v>
      </c>
      <c r="X37" t="str">
        <f>assignmentSQL('Master Table'!X37,'Master Table'!X$1,'Master Table'!$A37,'Master Table'!$B37)</f>
        <v>INSERT INTO Contact_ProductLine_Map (ContactId, ProductLineId, RegionId, IsSales, IsPM, IsUserAdvocate) VALUES ((SELECT ContactId FROM Contact WHERE Name = 'Jaroslaw Sitek'), (SELECT ProductLineId FROM ProductLine WHERE Name = 'AutoPLANT'), (SELECT RegionID FROM Region WHERE Name = 'EU2'),0,0,1);</v>
      </c>
      <c r="Y37" t="str">
        <f>assignmentSQL('Master Table'!Y37,'Master Table'!Y$1,'Master Table'!$A37,'Master Table'!$B37)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'EU2'),0,0,1);</v>
      </c>
      <c r="Z37" t="str">
        <f>assignmentSQL('Master Table'!Z37,'Master Table'!Z$1,'Master Table'!$A37,'Master Table'!$B37)</f>
        <v>INSERT INTO Contact_ProductLine_Map (ContactId, ProductLineId, RegionId, IsSales, IsPM, IsUserAdvocate) VALUES ((SELECT ContactId FROM Contact WHERE Name = 'Jaroslaw Sitek'), (SELECT ProductLineId FROM ProductLine WHERE Name = 'OpenPlant'), (SELECT RegionID FROM Region WHERE Name = 'EU2'),0,0,1);</v>
      </c>
      <c r="AA37" t="str">
        <f>assignmentSQL('Master Table'!AA37,'Master Table'!AA$1,'Master Table'!$A37,'Master Table'!$B37)</f>
        <v>INSERT INTO Contact_ProductLine_Map (ContactId, ProductLineId, RegionId, IsSales, IsPM, IsUserAdvocate) VALUES ((SELECT ContactId FROM Contact WHERE Name = 'Jaroslaw Sitek'), (SELECT ProductLineId FROM ProductLine WHERE Name = 'PlantSpace'), (SELECT RegionID FROM Region WHERE Name = 'EU2'),0,0,1);</v>
      </c>
      <c r="AB37" t="str">
        <f>assignmentSQL('Master Table'!AB37,'Master Table'!AB$1,'Master Table'!$A37,'Master Table'!$B37)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'EU2'),0,0,1);</v>
      </c>
      <c r="AC37" t="str">
        <f>assignmentSQL('Master Table'!AC37,'Master Table'!AC$1,'Master Table'!$A37,'Master Table'!$B37)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'EU2'),0,0,1);</v>
      </c>
      <c r="AD37" t="str">
        <f>assignmentSQL('Master Table'!AD37,'Master Table'!AD$1,'Master Table'!$A37,'Master Table'!$B37)</f>
        <v>INSERT INTO Contact_ProductLine_Map (ContactId, ProductLineId, RegionId, IsSales, IsPM, IsUserAdvocate) VALUES ((SELECT ContactId FROM Contact WHERE Name = 'Hubertus Bergmann'), (SELECT ProductLineId FROM ProductLine WHERE Name = 'Pointools'), (SELECT RegionID FROM Region WHERE Name = 'EU2'),0,0,1);</v>
      </c>
      <c r="AE37" t="str">
        <f>assignmentSQL('Master Table'!AE37,'Master Table'!AE$1,'Master Table'!$A37,'Master Table'!$B37)</f>
        <v>INSERT INTO Contact_ProductLine_Map (ContactId, ProductLineId, RegionId, IsSales, IsPM, IsUserAdvocate) VALUES ((SELECT ContactId FROM Contact WHERE Name = 'Hubertus Bergmann'), (SELECT ProductLineId FROM ProductLine WHERE Name = 'LumenRT'), (SELECT RegionID FROM Region WHERE Name = 'EU2'),0,0,1);</v>
      </c>
      <c r="AF37" t="str">
        <f>assignmentSQL('Master Table'!AF37,'Master Table'!AF$1,'Master Table'!$A37,'Master Table'!$B37)</f>
        <v>INSERT INTO Contact_ProductLine_Map (ContactId, ProductLineId, RegionId, IsSales, IsPM, IsUserAdvocate) VALUES ((SELECT ContactId FROM Contact WHERE Name = 'Hubertus Bergmann'), (SELECT ProductLineId FROM ProductLine WHERE Name = 'ContextCapture'), (SELECT RegionID FROM Region WHERE Name = 'EU2'),0,0,1);</v>
      </c>
      <c r="AG37" t="str">
        <f>assignmentSQL('Master Table'!AG37,'Master Table'!AG$1,'Master Table'!$A37,'Master Table'!$B37)</f>
        <v>INSERT INTO Contact_ProductLine_Map (ContactId, ProductLineId, RegionId, IsSales, IsPM, IsUserAdvocate) VALUES ((SELECT ContactId FROM Contact WHERE Name = 'Hubertus Bergmann'), (SELECT ProductLineId FROM ProductLine WHERE Name = 'Descartes'), (SELECT RegionID FROM Region WHERE Name = 'EU2'),0,0,1);</v>
      </c>
      <c r="AH37" t="str">
        <f>assignmentSQL('Master Table'!AH37,'Master Table'!AH$1,'Master Table'!$A37,'Master Table'!$B37)</f>
        <v>INSERT INTO Contact_ProductLine_Map (ContactId, ProductLineId, RegionId, IsSales, IsPM, IsUserAdvocate) VALUES ((SELECT ContactId FROM Contact WHERE Name = 'Michal Lipinski'), (SELECT ProductLineId FROM ProductLine WHERE Name = 'ProStructures'), (SELECT RegionID FROM Region WHERE Name = 'EU2'),0,0,1);</v>
      </c>
      <c r="AI37" t="str">
        <f>assignmentSQL('Master Table'!AI37,'Master Table'!AI$1,'Master Table'!$A37,'Master Table'!$B37)</f>
        <v>INSERT INTO Contact_ProductLine_Map (ContactId, ProductLineId, RegionId, IsSales, IsPM, IsUserAdvocate) VALUES ((SELECT ContactId FROM Contact WHERE Name = 'Lawrence Yong'), (SELECT ProductLineId FROM ProductLine WHERE Name = 'promis*e'), (SELECT RegionID FROM Region WHERE Name = 'EU2'),0,0,1);</v>
      </c>
      <c r="AJ37" t="str">
        <f>assignmentSQL('Master Table'!AJ37,'Master Table'!AJ$1,'Master Table'!$A37,'Master Table'!$B37)</f>
        <v>INSERT INTO Contact_ProductLine_Map (ContactId, ProductLineId, RegionId, IsSales, IsPM, IsUserAdvocate) VALUES ((SELECT ContactId FROM Contact WHERE Name = 'Ralph Schopen'), (SELECT ProductLineId FROM ProductLine WHERE Name = 'AssetWise'), (SELECT RegionID FROM Region WHERE Name = 'EU2'),0,0,1);</v>
      </c>
      <c r="AK37" t="str">
        <f>assignmentSQL('Master Table'!AK37,'Master Table'!AK$1,'Master Table'!$A37,'Master Table'!$B37)</f>
        <v>INSERT INTO Contact_ProductLine_Map (ContactId, ProductLineId, RegionId, IsSales, IsPM, IsUserAdvocate) VALUES ((SELECT ContactId FROM Contact WHERE Name = 'Harrie van Mullekom'), (SELECT ProductLineId FROM ProductLine WHERE Name = 'AssetWise APM'), (SELECT RegionID FROM Region WHERE Name = 'EU2'),0,0,1);</v>
      </c>
      <c r="AL37" t="str">
        <f>assignmentSQL('Master Table'!AL37,'Master Table'!AL$1,'Master Table'!$A37,'Master Table'!$B37)</f>
        <v>INSERT INTO Contact_ProductLine_Map (ContactId, ProductLineId, RegionId, IsSales, IsPM, IsUserAdvocate) VALUES ((SELECT ContactId FROM Contact WHERE Name = 'Jukka Kivela'), (SELECT ProductLineId FROM ProductLine WHERE Name = 'OpenUtilities'), (SELECT RegionID FROM Region WHERE Name = 'EU2'),0,0,1);</v>
      </c>
      <c r="AM37" t="str">
        <f>assignmentSQL('Master Table'!AM37,'Master Table'!AM$1,'Master Table'!$A37,'Master Table'!$B37)</f>
        <v>INSERT INTO Contact_ProductLine_Map (ContactId, ProductLineId, RegionId, IsSales, IsPM, IsUserAdvocate) VALUES ((SELECT ContactId FROM Contact WHERE Name = 'Jukka Kivela'), (SELECT ProductLineId FROM ProductLine WHERE Name = 'Map'), (SELECT RegionID FROM Region WHERE Name = 'EU2'),0,0,1);</v>
      </c>
      <c r="AN37" t="str">
        <f>assignmentSQL('Master Table'!AN37,'Master Table'!AN$1,'Master Table'!$A37,'Master Table'!$B37)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'EU2'),0,0,1);</v>
      </c>
      <c r="AO37" t="str">
        <f>assignmentSQL('Master Table'!AO37,'Master Table'!AO$1,'Master Table'!$A37,'Master Table'!$B37)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'EU2'),0,0,1);</v>
      </c>
      <c r="AP37" t="str">
        <f>assignmentSQL('Master Table'!AP37,'Master Table'!AP$1,'Master Table'!$A37,'Master Table'!$B37)</f>
        <v>INSERT INTO Contact_ProductLine_Map (ContactId, ProductLineId, RegionId, IsSales, IsPM, IsUserAdvocate) VALUES ((SELECT ContactId FROM Contact WHERE Name = 'Kristen Dietrich'), (SELECT ProductLineId FROM ProductLine WHERE Name = 'Haestad'), (SELECT RegionID FROM Region WHERE Name = 'EU2'),0,0,1);</v>
      </c>
      <c r="AQ37" t="str">
        <f>assignmentSQL('Master Table'!AQ37,'Master Table'!AQ$1,'Master Table'!$A37,'Master Table'!$B37)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'EU2'),0,0,1);</v>
      </c>
      <c r="AR37" t="str">
        <f>assignmentSQL('Master Table'!AR37,'Master Table'!AR$1,'Master Table'!$A37,'Master Table'!$B37)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'EU2'),0,0,1);</v>
      </c>
      <c r="AS37" t="str">
        <f>assignmentSQL('Master Table'!AS37,'Master Table'!AS$1,'Master Table'!$A37,'Master Table'!$B37)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'EU2'),0,0,1);</v>
      </c>
      <c r="AT37" t="str">
        <f>assignmentSQL('Master Table'!AT37,'Master Table'!AT$1,'Master Table'!$A37,'Master Table'!$B37)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'EU2'),0,0,1);</v>
      </c>
      <c r="AU37" t="str">
        <f>assignmentSQL('Master Table'!AU37,'Master Table'!AU$1,'Master Table'!$A37,'Master Table'!$B37)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'EU2'),0,0,1);</v>
      </c>
      <c r="AV37" t="str">
        <f>assignmentSQL('Master Table'!AV37,'Master Table'!AV$1,'Master Table'!$A37,'Master Table'!$B37)</f>
        <v>INSERT INTO Contact_ProductLine_Map (ContactId, ProductLineId, RegionId, IsSales, IsPM, IsUserAdvocate) VALUES ((SELECT ContactId FROM Contact WHERE Name = 'Arturas Zidonis'), (SELECT ProductLineId FROM ProductLine WHERE Name = 'ProjectWise Design Integration'), (SELECT RegionID FROM Region WHERE Name = 'EU2'),0,0,1);</v>
      </c>
      <c r="AW37" t="str">
        <f>assignmentSQL('Master Table'!AW37,'Master Table'!AW$1,'Master Table'!$A37,'Master Table'!$B37)</f>
        <v>INSERT INTO Contact_ProductLine_Map (ContactId, ProductLineId, RegionId, IsSales, IsPM, IsUserAdvocate) VALUES ((SELECT ContactId FROM Contact WHERE Name = 'Justinas Verbickas'), (SELECT ProductLineId FROM ProductLine WHERE Name = 'ProjectWise Issues Resolution'), (SELECT RegionID FROM Region WHERE Name = 'EU2'),0,0,1);</v>
      </c>
      <c r="AX37" t="str">
        <f>assignmentSQL('Master Table'!AX37,'Master Table'!AX$1,'Master Table'!$A37,'Master Table'!$B37)</f>
        <v>INSERT INTO Contact_ProductLine_Map (ContactId, ProductLineId, RegionId, IsSales, IsPM, IsUserAdvocate) VALUES ((SELECT ContactId FROM Contact WHERE Name = 'Arturas Zidonis'), (SELECT ProductLineId FROM ProductLine WHERE Name = 'ProjectWise Explorer Civil 3D Integration Module'), (SELECT RegionID FROM Region WHERE Name = 'EU2'),0,0,1);</v>
      </c>
      <c r="AY37" t="str">
        <f>assignmentSQL('Master Table'!AY37,'Master Table'!AY$1,'Master Table'!$A37,'Master Table'!$B37)</f>
        <v>INSERT INTO Contact_ProductLine_Map (ContactId, ProductLineId, RegionId, IsSales, IsPM, IsUserAdvocate) VALUES ((SELECT ContactId FROM Contact WHERE Name = 'Arturas Zidonis'), (SELECT ProductLineId FROM ProductLine WHERE Name = 'ProjectWise Explorer Revit Integration Module'), (SELECT RegionID FROM Region WHERE Name = 'EU2'),0,0,1);</v>
      </c>
      <c r="AZ37" t="str">
        <f>assignmentSQL('Master Table'!AZ37,'Master Table'!AZ$1,'Master Table'!$A37,'Master Table'!$B37)</f>
        <v>INSERT INTO Contact_ProductLine_Map (ContactId, ProductLineId, RegionId, IsSales, IsPM, IsUserAdvocate) VALUES ((SELECT ContactId FROM Contact WHERE Name = 'Arturas Zidonis'), (SELECT ProductLineId FROM ProductLine WHERE Name = 'ProjectWise Explorer Office Integration Module'), (SELECT RegionID FROM Region WHERE Name = 'EU2'),0,0,1);</v>
      </c>
      <c r="BA37" t="str">
        <f>assignmentSQL('Master Table'!BA37,'Master Table'!BA$1,'Master Table'!$A37,'Master Table'!$B37)</f>
        <v>INSERT INTO Contact_ProductLine_Map (ContactId, ProductLineId, RegionId, IsSales, IsPM, IsUserAdvocate) VALUES ((SELECT ContactId FROM Contact WHERE Name = 'Justinas Verbickas'), (SELECT ProductLineId FROM ProductLine WHERE Name = 'ProjectWise Edge Mobile'), (SELECT RegionID FROM Region WHERE Name = 'EU2'),0,0,1);</v>
      </c>
      <c r="BB37" t="str">
        <f>assignmentSQL('Master Table'!BB37,'Master Table'!BB$1,'Master Table'!$A37,'Master Table'!$B37)</f>
        <v>INSERT INTO Contact_ProductLine_Map (ContactId, ProductLineId, RegionId, IsSales, IsPM, IsUserAdvocate) VALUES ((SELECT ContactId FROM Contact WHERE Name = 'Justinas Verbickas'), (SELECT ProductLineId FROM ProductLine WHERE Name = 'ProjectWise WorkSite'), (SELECT RegionID FROM Region WHERE Name = 'EU2'),0,0,1);</v>
      </c>
      <c r="BC37" t="str">
        <f>assignmentSQL('Master Table'!BC37,'Master Table'!BC$1,'Master Table'!$A37,'Master Table'!$B37)</f>
        <v>INSERT INTO Contact_ProductLine_Map (ContactId, ProductLineId, RegionId, IsSales, IsPM, IsUserAdvocate) VALUES ((SELECT ContactId FROM Contact WHERE Name = 'Justinas Verbickas'), (SELECT ProductLineId FROM ProductLine WHERE Name = 'ProjectWise Edge'), (SELECT RegionID FROM Region WHERE Name = 'EU2'),0,0,1);</v>
      </c>
      <c r="BD37" t="str">
        <f>assignmentSQL('Master Table'!BD37,'Master Table'!BD$1,'Master Table'!$A37,'Master Table'!$B37)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'EU2'),0,0,1);</v>
      </c>
      <c r="BE37" t="str">
        <f>assignmentSQL('Master Table'!BE37,'Master Table'!BE$1,'Master Table'!$A37,'Master Table'!$B37)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'EU2'),0,0,1);</v>
      </c>
      <c r="BF37" t="str">
        <f>assignmentSQL('Master Table'!BF37,'Master Table'!BF$1,'Master Table'!$A37,'Master Table'!$B37)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'EU2'),0,0,1);</v>
      </c>
      <c r="BG37" t="str">
        <f>assignmentSQL('Master Table'!BG37,'Master Table'!BG$1,'Master Table'!$A37,'Master Table'!$B37)</f>
        <v>INSERT INTO Contact_ProductLine_Map (ContactId, ProductLineId, RegionId, IsSales, IsPM, IsUserAdvocate) VALUES ((SELECT ContactId FROM Contact WHERE Name = 'Arturas Baranauskas'), (SELECT ProductLineId FROM ProductLine WHERE Name = 'Deliverables Management'), (SELECT RegionID FROM Region WHERE Name = 'EU2'),0,0,1);</v>
      </c>
      <c r="BH37" t="str">
        <f>assignmentSQL('Master Table'!BH37,'Master Table'!BH$1,'Master Table'!$A37,'Master Table'!$B37)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'EU2'),0,0,1);</v>
      </c>
      <c r="BI37" t="str">
        <f>assignmentSQL('Master Table'!BI37,'Master Table'!BI$1,'Master Table'!$A37,'Master Table'!$B37)</f>
        <v>INSERT INTO Contact_ProductLine_Map (ContactId, ProductLineId, RegionId, IsSales, IsPM, IsUserAdvocate) VALUES ((SELECT ContactId FROM Contact WHERE Name = 'Justinas Verbickas'), (SELECT ProductLineId FROM ProductLine WHERE Name = 'ProjectWise "Field Data Management'), (SELECT RegionID FROM Region WHERE Name = 'EU2'),0,0,1);</v>
      </c>
      <c r="BJ37" t="str">
        <f>assignmentSQL('Master Table'!BJ37,'Master Table'!BJ$1,'Master Table'!$A37,'Master Table'!$B37)</f>
        <v>INSERT INTO Contact_ProductLine_Map (ContactId, ProductLineId, RegionId, IsSales, IsPM, IsUserAdvocate) VALUES ((SELECT ContactId FROM Contact WHERE Name = 'Arturas Zidonis'), (SELECT ProductLineId FROM ProductLine WHERE Name = 'ProjectWise i-model Composition Server for PDF'), (SELECT RegionID FROM Region WHERE Name = 'EU2'),0,0,1);</v>
      </c>
      <c r="BK37" t="str">
        <f>assignmentSQL('Master Table'!BK37,'Master Table'!BK$1,'Master Table'!$A37,'Master Table'!$B37)</f>
        <v>INSERT INTO Contact_ProductLine_Map (ContactId, ProductLineId, RegionId, IsSales, IsPM, IsUserAdvocate) VALUES ((SELECT ContactId FROM Contact WHERE Name = 'Evert de Jong'), (SELECT ProductLineId FROM ProductLine WHERE Name = 'ProjectWise InterPlot Server and Interplot Organizer'), (SELECT RegionID FROM Region WHERE Name = 'EU2'),0,0,1);</v>
      </c>
      <c r="BL37" t="str">
        <f>assignmentSQL('Master Table'!BL37,'Master Table'!BL$1,'Master Table'!$A37,'Master Table'!$B37)</f>
        <v>INSERT INTO Contact_ProductLine_Map (ContactId, ProductLineId, RegionId, IsSales, IsPM, IsUserAdvocate) VALUES ((SELECT ContactId FROM Contact WHERE Name = 'Evert de Jong'), (SELECT ProductLineId FROM ProductLine WHERE Name = 'ProjectWise i-model Composition Server for i-models'), (SELECT RegionID FROM Region WHERE Name = 'EU2'),0,0,1);</v>
      </c>
    </row>
    <row r="38" spans="3:64" x14ac:dyDescent="0.25">
      <c r="C38" t="str">
        <f>assignmentSQL('Master Table'!C38,'Master Table'!C$1,'Master Table'!$A38,'Master Table'!$B38)</f>
        <v>INSERT INTO Contact_ProductLine_Map (ContactId, ProductLineId, RegionId, IsSales, IsPM, IsUserAdvocate) VALUES ((SELECT ContactId FROM Contact WHERE Name = 'Tennyson Maimbo'), (SELECT ProductLineId FROM ProductLine WHERE Name = 'STAAD'), (SELECT RegionID FROM Region WHERE Name = 'Africa'),1,0,0);</v>
      </c>
      <c r="D38" t="str">
        <f>assignmentSQL('Master Table'!D38,'Master Table'!D$1,'Master Table'!$A38,'Master Table'!$B38)</f>
        <v>INSERT INTO Contact_ProductLine_Map (ContactId, ProductLineId, RegionId, IsSales, IsPM, IsUserAdvocate) VALUES ((SELECT ContactId FROM Contact WHERE Name = 'Tennyson Maimbo'), (SELECT ProductLineId FROM ProductLine WHERE Name = 'RAM'), (SELECT RegionID FROM Region WHERE Name = 'Africa'),1,0,0);</v>
      </c>
      <c r="E38" t="str">
        <f>assignmentSQL('Master Table'!E38,'Master Table'!E$1,'Master Table'!$A38,'Master Table'!$B38)</f>
        <v>INSERT INTO Contact_ProductLine_Map (ContactId, ProductLineId, RegionId, IsSales, IsPM, IsUserAdvocate) VALUES ((SELECT ContactId FROM Contact WHERE Name = 'Tennyson Maimbo'), (SELECT ProductLineId FROM ProductLine WHERE Name = 'AUTOPIPE'), (SELECT RegionID FROM Region WHERE Name = 'Africa'),1,0,0);</v>
      </c>
      <c r="F38" t="str">
        <f>assignmentSQL('Master Table'!F38,'Master Table'!F$1,'Master Table'!$A38,'Master Table'!$B38)</f>
        <v>INSERT INTO Contact_ProductLine_Map (ContactId, ProductLineId, RegionId, IsSales, IsPM, IsUserAdvocate) VALUES ((SELECT ContactId FROM Contact WHERE Name = 'Tennyson Maimbo'), (SELECT ProductLineId FROM ProductLine WHERE Name = 'SACS'), (SELECT RegionID FROM Region WHERE Name = 'Africa'),1,0,0);</v>
      </c>
      <c r="G38" t="str">
        <f>assignmentSQL('Master Table'!G38,'Master Table'!G$1,'Master Table'!$A38,'Master Table'!$B38)</f>
        <v>INSERT INTO Contact_ProductLine_Map (ContactId, ProductLineId, RegionId, IsSales, IsPM, IsUserAdvocate) VALUES ((SELECT ContactId FROM Contact WHERE Name = 'Tennyson Maimbo'), (SELECT ProductLineId FROM ProductLine WHERE Name = 'MAXSURF'), (SELECT RegionID FROM Region WHERE Name = 'Africa'),1,0,0);</v>
      </c>
      <c r="H38" t="str">
        <f>assignmentSQL('Master Table'!H38,'Master Table'!H$1,'Master Table'!$A38,'Master Table'!$B38)</f>
        <v>INSERT INTO Contact_ProductLine_Map (ContactId, ProductLineId, RegionId, IsSales, IsPM, IsUserAdvocate) VALUES ((SELECT ContactId FROM Contact WHERE Name = 'Tennyson Maimbo'), (SELECT ProductLineId FROM ProductLine WHERE Name = 'MOSES'), (SELECT RegionID FROM Region WHERE Name = 'Africa'),1,0,0);</v>
      </c>
      <c r="I38" t="str">
        <f>assignmentSQL('Master Table'!I38,'Master Table'!I$1,'Master Table'!$A38,'Master Table'!$B38)</f>
        <v/>
      </c>
      <c r="J38" t="str">
        <f>assignmentSQL('Master Table'!J38,'Master Table'!J$1,'Master Table'!$A38,'Master Table'!$B38)</f>
        <v/>
      </c>
      <c r="K38" t="str">
        <f>assignmentSQL('Master Table'!K38,'Master Table'!K$1,'Master Table'!$A38,'Master Table'!$B38)</f>
        <v/>
      </c>
      <c r="L38" t="str">
        <f>assignmentSQL('Master Table'!L38,'Master Table'!L$1,'Master Table'!$A38,'Master Table'!$B38)</f>
        <v/>
      </c>
      <c r="M38" t="str">
        <f>assignmentSQL('Master Table'!M38,'Master Table'!M$1,'Master Table'!$A38,'Master Table'!$B38)</f>
        <v>INSERT INTO Contact_ProductLine_Map (ContactId, ProductLineId, RegionId, IsSales, IsPM, IsUserAdvocate) VALUES ((SELECT ContactId FROM Contact WHERE Name = 'Tennyson Maimbo'), (SELECT ProductLineId FROM ProductLine WHERE Name = 'SITEOPS'), (SELECT RegionID FROM Region WHERE Name = 'Africa'),1,0,0);</v>
      </c>
      <c r="N38" t="str">
        <f>assignmentSQL('Master Table'!N38,'Master Table'!N$1,'Master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'AECOsim Building Designer'), (SELECT RegionID FROM Region WHERE Name = 'Africa'),1,0,0);</v>
      </c>
      <c r="O38" t="str">
        <f>assignmentSQL('Master Table'!O38,'Master Table'!O$1,'Master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'speedikon'), (SELECT RegionID FROM Region WHERE Name = 'Africa'),1,0,0);</v>
      </c>
      <c r="P38" t="str">
        <f>assignmentSQL('Master Table'!P38,'Master Table'!P$1,'Master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'Hevacomp'), (SELECT RegionID FROM Region WHERE Name = 'Africa'),1,0,0);</v>
      </c>
      <c r="Q38" t="str">
        <f>assignmentSQL('Master Table'!Q38,'Master Table'!Q$1,'Master Table'!$A38,'Master Table'!$B38)</f>
        <v>INSERT INTO Contact_ProductLine_Map (ContactId, ProductLineId, RegionId, IsSales, IsPM, IsUserAdvocate) VALUES ((SELECT ContactId FROM Contact WHERE Name = 'Rick Black'), (SELECT ProductLineId FROM ProductLine WHERE Name = 'GEOPAK'), (SELECT RegionID FROM Region WHERE Name = 'Africa'),1,0,0);</v>
      </c>
      <c r="R38" t="str">
        <f>assignmentSQL('Master Table'!R38,'Master Table'!R$1,'Master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'InRoads'), (SELECT RegionID FROM Region WHERE Name = 'Africa'),1,0,0);</v>
      </c>
      <c r="S38" t="str">
        <f>assignmentSQL('Master Table'!S38,'Master Table'!S$1,'Master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'MX'), (SELECT RegionID FROM Region WHERE Name = 'Africa'),1,0,0);</v>
      </c>
      <c r="T38" t="str">
        <f>assignmentSQL('Master Table'!T38,'Master Table'!T$1,'Master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'OpenRail'), (SELECT RegionID FROM Region WHERE Name = 'Africa'),1,0,0);</v>
      </c>
      <c r="U38" t="str">
        <f>assignmentSQL('Master Table'!U38,'Master Table'!U$1,'Master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'OpenRoads'), (SELECT RegionID FROM Region WHERE Name = 'Africa'),1,0,0);</v>
      </c>
      <c r="V38" t="str">
        <f>assignmentSQL('Master Table'!V38,'Master Table'!V$1,'Master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'ConceptStation'), (SELECT RegionID FROM Region WHERE Name = 'Africa'),1,0,0);</v>
      </c>
      <c r="W38" t="str">
        <f>assignmentSQL('Master Table'!W38,'Master Table'!W$1,'Master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'gINT'), (SELECT RegionID FROM Region WHERE Name = 'Africa'),1,0,0);</v>
      </c>
      <c r="X38" t="str">
        <f>assignmentSQL('Master Table'!X38,'Master Table'!X$1,'Master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'AutoPLANT'), (SELECT RegionID FROM Region WHERE Name = 'Africa'),1,0,0);</v>
      </c>
      <c r="Y38" t="str">
        <f>assignmentSQL('Master Table'!Y38,'Master Table'!Y$1,'Master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'AXSYS'), (SELECT RegionID FROM Region WHERE Name = 'Africa'),1,0,0);</v>
      </c>
      <c r="Z38" t="str">
        <f>assignmentSQL('Master Table'!Z38,'Master Table'!Z$1,'Master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'OpenPlant'), (SELECT RegionID FROM Region WHERE Name = 'Africa'),1,0,0);</v>
      </c>
      <c r="AA38" t="str">
        <f>assignmentSQL('Master Table'!AA38,'Master Table'!AA$1,'Master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'PlantSpace'), (SELECT RegionID FROM Region WHERE Name = 'Africa'),1,0,0);</v>
      </c>
      <c r="AB38" t="str">
        <f>assignmentSQL('Master Table'!AB38,'Master Table'!AB$1,'Master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'MineCycle'), (SELECT RegionID FROM Region WHERE Name = 'Africa'),1,0,0);</v>
      </c>
      <c r="AC38" t="str">
        <f>assignmentSQL('Master Table'!AC38,'Master Table'!AC$1,'Master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'Plantwise'), (SELECT RegionID FROM Region WHERE Name = 'Africa'),1,0,0);</v>
      </c>
      <c r="AD38" t="str">
        <f>assignmentSQL('Master Table'!AD38,'Master Table'!AD$1,'Master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'Pointools'), (SELECT RegionID FROM Region WHERE Name = 'Africa'),1,0,0);</v>
      </c>
      <c r="AE38" t="str">
        <f>assignmentSQL('Master Table'!AE38,'Master Table'!AE$1,'Master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'LumenRT'), (SELECT RegionID FROM Region WHERE Name = 'Africa'),1,0,0);</v>
      </c>
      <c r="AF38" t="str">
        <f>assignmentSQL('Master Table'!AF38,'Master Table'!AF$1,'Master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'ContextCapture'), (SELECT RegionID FROM Region WHERE Name = 'Africa'),1,0,0);</v>
      </c>
      <c r="AG38" t="str">
        <f>assignmentSQL('Master Table'!AG38,'Master Table'!AG$1,'Master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'Descartes'), (SELECT RegionID FROM Region WHERE Name = 'Africa'),1,0,0);</v>
      </c>
      <c r="AH38" t="str">
        <f>assignmentSQL('Master Table'!AH38,'Master Table'!AH$1,'Master Table'!$A38,'Master Table'!$B38)</f>
        <v>INSERT INTO Contact_ProductLine_Map (ContactId, ProductLineId, RegionId, IsSales, IsPM, IsUserAdvocate) VALUES ((SELECT ContactId FROM Contact WHERE Name = 'Craven Naidoo'), (SELECT ProductLineId FROM ProductLine WHERE Name = 'ProStructures'), (SELECT RegionID FROM Region WHERE Name = 'Africa'),1,0,0);</v>
      </c>
      <c r="AI38" t="str">
        <f>assignmentSQL('Master Table'!AI38,'Master Table'!AI$1,'Master Table'!$A38,'Master Table'!$B38)</f>
        <v>INSERT INTO Contact_ProductLine_Map (ContactId, ProductLineId, RegionId, IsSales, IsPM, IsUserAdvocate) VALUES ((SELECT ContactId FROM Contact WHERE Name = 'Rick Black'), (SELECT ProductLineId FROM ProductLine WHERE Name = 'promis*e'), (SELECT RegionID FROM Region WHERE Name = 'Africa'),1,0,0);</v>
      </c>
      <c r="AJ38" t="str">
        <f>assignmentSQL('Master Table'!AJ38,'Master Table'!AJ$1,'Master Table'!$A38,'Master Table'!$B38)</f>
        <v>INSERT INTO Contact_ProductLine_Map (ContactId, ProductLineId, RegionId, IsSales, IsPM, IsUserAdvocate) VALUES ((SELECT ContactId FROM Contact WHERE Name = 'Freek Verhoef'), (SELECT ProductLineId FROM ProductLine WHERE Name = 'AssetWise'), (SELECT RegionID FROM Region WHERE Name = 'Africa'),1,0,0);</v>
      </c>
      <c r="AK38" t="str">
        <f>assignmentSQL('Master Table'!AK38,'Master Table'!AK$1,'Master Table'!$A38,'Master Table'!$B38)</f>
        <v>INSERT INTO Contact_ProductLine_Map (ContactId, ProductLineId, RegionId, IsSales, IsPM, IsUserAdvocate) VALUES ((SELECT ContactId FROM Contact WHERE Name = 'David Smith'), (SELECT ProductLineId FROM ProductLine WHERE Name = 'AssetWise APM'), (SELECT RegionID FROM Region WHERE Name = 'Africa'),1,0,0);</v>
      </c>
      <c r="AL38" t="str">
        <f>assignmentSQL('Master Table'!AL38,'Master Table'!AL$1,'Master Table'!$A38,'Master Table'!$B38)</f>
        <v>INSERT INTO Contact_ProductLine_Map (ContactId, ProductLineId, RegionId, IsSales, IsPM, IsUserAdvocate) VALUES ((SELECT ContactId FROM Contact WHERE Name = 'Frederick Boersma'), (SELECT ProductLineId FROM ProductLine WHERE Name = 'OpenUtilities'), (SELECT RegionID FROM Region WHERE Name = 'Africa'),1,0,0);INSERT INTO Contact_ProductLine_Map (ContactId, ProductLineId, RegionId, IsSales, IsPM, IsUserAdvocate) VALUES ((SELECT ContactId FROM Contact WHERE Name = 'Ton de Vries'), (SELECT ProductLineId FROM ProductLine WHERE Name = 'OpenUtilities'), (SELECT RegionID FROM Region WHERE Name = 'Africa'),1,0,0);</v>
      </c>
      <c r="AM38" t="str">
        <f>assignmentSQL('Master Table'!AM38,'Master Table'!AM$1,'Master Table'!$A38,'Master Table'!$B38)</f>
        <v>INSERT INTO Contact_ProductLine_Map (ContactId, ProductLineId, RegionId, IsSales, IsPM, IsUserAdvocate) VALUES ((SELECT ContactId FROM Contact WHERE Name = 'Henry vanTonder'), (SELECT ProductLineId FROM ProductLine WHERE Name = 'Map'), (SELECT RegionID FROM Region WHERE Name = 'Africa'),1,0,0);</v>
      </c>
      <c r="AN38" t="str">
        <f>assignmentSQL('Master Table'!AN38,'Master Table'!AN$1,'Master Table'!$A38,'Master Table'!$B38)</f>
        <v>INSERT INTO Contact_ProductLine_Map (ContactId, ProductLineId, RegionId, IsSales, IsPM, IsUserAdvocate) VALUES ((SELECT ContactId FROM Contact WHERE Name = 'Frederick Boersma'), (SELECT ProductLineId FROM ProductLine WHERE Name = 'OpenComms'), (SELECT RegionID FROM Region WHERE Name = 'Africa'),1,0,0);INSERT INTO Contact_ProductLine_Map (ContactId, ProductLineId, RegionId, IsSales, IsPM, IsUserAdvocate) VALUES ((SELECT ContactId FROM Contact WHERE Name = 'Ton de Vries'), (SELECT ProductLineId FROM ProductLine WHERE Name = 'OpenComms'), (SELECT RegionID FROM Region WHERE Name = 'Africa'),1,0,0);</v>
      </c>
      <c r="AO38" t="str">
        <f>assignmentSQL('Master Table'!AO38,'Master Table'!AO$1,'Master Table'!$A38,'Master Table'!$B38)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'Africa'),1,0,0);INSERT INTO Contact_ProductLine_Map (ContactId, ProductLineId, RegionId, IsSales, IsPM, IsUserAdvocate) VALUES ((SELECT ContactId FROM Contact WHERE Name = 'Julian Earnshaw'), (SELECT ProductLineId FROM ProductLine WHERE Name = 'Exor'), (SELECT RegionID FROM Region WHERE Name = 'Africa'),1,0,0);</v>
      </c>
      <c r="AP38" t="str">
        <f>assignmentSQL('Master Table'!AP38,'Master Table'!AP$1,'Master Table'!$A38,'Master Table'!$B38)</f>
        <v>INSERT INTO Contact_ProductLine_Map (ContactId, ProductLineId, RegionId, IsSales, IsPM, IsUserAdvocate) VALUES ((SELECT ContactId FROM Contact WHERE Name = 'Muhanned Shaweesh'), (SELECT ProductLineId FROM ProductLine WHERE Name = 'Haestad'), (SELECT RegionID FROM Region WHERE Name = 'Africa'),1,0,0);</v>
      </c>
      <c r="AQ38" t="str">
        <f>assignmentSQL('Master Table'!AQ38,'Master Table'!AQ$1,'Master Table'!$A38,'Master Table'!$B38)</f>
        <v>INSERT INTO Contact_ProductLine_Map (ContactId, ProductLineId, RegionId, IsSales, IsPM, IsUserAdvocate) VALUES ((SELECT ContactId FROM Contact WHERE Name = 'Travis Ritter'), (SELECT ProductLineId FROM ProductLine WHERE Name = 'Optram'), (SELECT RegionID FROM Region WHERE Name = 'Africa'),1,0,0);INSERT INTO Contact_ProductLine_Map (ContactId, ProductLineId, RegionId, IsSales, IsPM, IsUserAdvocate) VALUES ((SELECT ContactId FROM Contact WHERE Name = 'Andrew Smith'), (SELECT ProductLineId FROM ProductLine WHERE Name = 'Optram'), (SELECT RegionID FROM Region WHERE Name = 'Africa'),1,0,0);</v>
      </c>
      <c r="AR38" t="str">
        <f>assignmentSQL('Master Table'!AR38,'Master Table'!AR$1,'Master Table'!$A38,'Master Table'!$B38)</f>
        <v>INSERT INTO Contact_ProductLine_Map (ContactId, ProductLineId, RegionId, IsSales, IsPM, IsUserAdvocate) VALUES ((SELECT ContactId FROM Contact WHERE Name = 'Dan Vogen'), (SELECT ProductLineId FROM ProductLine WHERE Name = 'SUPERLOAD'), (SELECT RegionID FROM Region WHERE Name = 'Africa'),1,0,0);</v>
      </c>
      <c r="AS38" t="str">
        <f>assignmentSQL('Master Table'!AS38,'Master Table'!AS$1,'Master Table'!$A38,'Master Table'!$B38)</f>
        <v>INSERT INTO Contact_ProductLine_Map (ContactId, ProductLineId, RegionId, IsSales, IsPM, IsUserAdvocate) VALUES ((SELECT ContactId FROM Contact WHERE Name = 'David Smith'), (SELECT ProductLineId FROM ProductLine WHERE Name = 'Amulet'), (SELECT RegionID FROM Region WHERE Name = 'Africa'),1,0,0);</v>
      </c>
      <c r="AT38" t="str">
        <f>assignmentSQL('Master Table'!AT38,'Master Table'!AT$1,'Master Table'!$A38,'Master Table'!$B38)</f>
        <v>INSERT INTO Contact_ProductLine_Map (ContactId, ProductLineId, RegionId, IsSales, IsPM, IsUserAdvocate) VALUES ((SELECT ContactId FROM Contact WHERE Name = 'Ben Witter'), (SELECT ProductLineId FROM ProductLine WHERE Name = 'InspectTech'), (SELECT RegionID FROM Region WHERE Name = 'Africa'),1,0,0);</v>
      </c>
      <c r="AU38" t="str">
        <f>assignmentSQL('Master Table'!AU38,'Master Table'!AU$1,'Master Table'!$A38,'Master Table'!$B38)</f>
        <v>INSERT INTO Contact_ProductLine_Map (ContactId, ProductLineId, RegionId, IsSales, IsPM, IsUserAdvocate) VALUES ((SELECT ContactId FROM Contact WHERE Name = 'Eric Crivella'), (SELECT ProductLineId FROM ProductLine WHERE Name = 'ConstructSim Work Package Server'), (SELECT RegionID FROM Region WHERE Name = 'Africa'),1,0,0);</v>
      </c>
      <c r="AV38" t="str">
        <f>assignmentSQL('Master Table'!AV38,'Master Table'!AV$1,'Master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Design Integration'), (SELECT RegionID FROM Region WHERE Name = 'Africa'),1,0,0);</v>
      </c>
      <c r="AW38" t="str">
        <f>assignmentSQL('Master Table'!AW38,'Master Table'!AW$1,'Master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Issues Resolution'), (SELECT RegionID FROM Region WHERE Name = 'Africa'),1,0,0);</v>
      </c>
      <c r="AX38" t="str">
        <f>assignmentSQL('Master Table'!AX38,'Master Table'!AX$1,'Master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Explorer Civil 3D Integration Module'), (SELECT RegionID FROM Region WHERE Name = 'Africa'),1,0,0);</v>
      </c>
      <c r="AY38" t="str">
        <f>assignmentSQL('Master Table'!AY38,'Master Table'!AY$1,'Master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Explorer Revit Integration Module'), (SELECT RegionID FROM Region WHERE Name = 'Africa'),1,0,0);</v>
      </c>
      <c r="AZ38" t="str">
        <f>assignmentSQL('Master Table'!AZ38,'Master Table'!AZ$1,'Master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Explorer Office Integration Module'), (SELECT RegionID FROM Region WHERE Name = 'Africa'),1,0,0);</v>
      </c>
      <c r="BA38" t="str">
        <f>assignmentSQL('Master Table'!BA38,'Master Table'!BA$1,'Master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Edge Mobile'), (SELECT RegionID FROM Region WHERE Name = 'Africa'),1,0,0);</v>
      </c>
      <c r="BB38" t="str">
        <f>assignmentSQL('Master Table'!BB38,'Master Table'!BB$1,'Master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WorkSite'), (SELECT RegionID FROM Region WHERE Name = 'Africa'),1,0,0);</v>
      </c>
      <c r="BC38" t="str">
        <f>assignmentSQL('Master Table'!BC38,'Master Table'!BC$1,'Master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Edge'), (SELECT RegionID FROM Region WHERE Name = 'Africa'),1,0,0);</v>
      </c>
      <c r="BD38" t="str">
        <f>assignmentSQL('Master Table'!BD38,'Master Table'!BD$1,'Master Table'!$A38,'Master Table'!$B38)</f>
        <v>INSERT INTO Contact_ProductLine_Map (ContactId, ProductLineId, RegionId, IsSales, IsPM, IsUserAdvocate) VALUES ((SELECT ContactId FROM Contact WHERE Name = 'Ashish Kumar'), (SELECT ProductLineId FROM ProductLine WHERE Name = 'Navigator CE'), (SELECT RegionID FROM Region WHERE Name = 'Africa'),1,0,0);</v>
      </c>
      <c r="BE38" t="str">
        <f>assignmentSQL('Master Table'!BE38,'Master Table'!BE$1,'Master Table'!$A38,'Master Table'!$B38)</f>
        <v>INSERT INTO Contact_ProductLine_Map (ContactId, ProductLineId, RegionId, IsSales, IsPM, IsUserAdvocate) VALUES ((SELECT ContactId FROM Contact WHERE Name = 'Eric Crivella'), (SELECT ProductLineId FROM ProductLine WHERE Name = 'Completions'), (SELECT RegionID FROM Region WHERE Name = 'Africa'),1,0,0);</v>
      </c>
      <c r="BF38" t="str">
        <f>assignmentSQL('Master Table'!BF38,'Master Table'!BF$1,'Master Table'!$A38,'Master Table'!$B38)</f>
        <v>INSERT INTO Contact_ProductLine_Map (ContactId, ProductLineId, RegionId, IsSales, IsPM, IsUserAdvocate) VALUES ((SELECT ContactId FROM Contact WHERE Name = 'Eric Law'), (SELECT ProductLineId FROM ProductLine WHERE Name = 'EADOC UI Upgrade'), (SELECT RegionID FROM Region WHERE Name = 'Africa'),1,0,0);</v>
      </c>
      <c r="BG38" t="str">
        <f>assignmentSQL('Master Table'!BG38,'Master Table'!BG$1,'Master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'Deliverables Management'), (SELECT RegionID FROM Region WHERE Name = 'Africa'),1,0,0);</v>
      </c>
      <c r="BH38" t="str">
        <f>assignmentSQL('Master Table'!BH38,'Master Table'!BH$1,'Master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'Bentley Automation Service CONNECT Edition'), (SELECT RegionID FROM Region WHERE Name = 'Africa'),1,0,0);</v>
      </c>
      <c r="BI38" t="str">
        <f>assignmentSQL('Master Table'!BI38,'Master Table'!BI$1,'Master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"Field Data Management'), (SELECT RegionID FROM Region WHERE Name = 'Africa'),1,0,0);</v>
      </c>
      <c r="BJ38" t="str">
        <f>assignmentSQL('Master Table'!BJ38,'Master Table'!BJ$1,'Master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i-model Composition Server for PDF'), (SELECT RegionID FROM Region WHERE Name = 'Africa'),1,0,0);</v>
      </c>
      <c r="BK38" t="str">
        <f>assignmentSQL('Master Table'!BK38,'Master Table'!BK$1,'Master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InterPlot Server and Interplot Organizer'), (SELECT RegionID FROM Region WHERE Name = 'Africa'),1,0,0);</v>
      </c>
      <c r="BL38" t="str">
        <f>assignmentSQL('Master Table'!BL38,'Master Table'!BL$1,'Master Table'!$A38,'Master Table'!$B38)</f>
        <v>INSERT INTO Contact_ProductLine_Map (ContactId, ProductLineId, RegionId, IsSales, IsPM, IsUserAdvocate) VALUES ((SELECT ContactId FROM Contact WHERE Name = 'Vivek Kale'), (SELECT ProductLineId FROM ProductLine WHERE Name = 'ProjectWise i-model Composition Server for i-models'), (SELECT RegionID FROM Region WHERE Name = 'Africa'),1,0,0);</v>
      </c>
    </row>
    <row r="39" spans="3:64" x14ac:dyDescent="0.25">
      <c r="C39" t="str">
        <f>assignmentSQL('Master Table'!C39,'Master Table'!C$1,'Master Table'!$A39,'Master Table'!$B39)</f>
        <v>INSERT INTO Contact_ProductLine_Map (ContactId, ProductLineId, RegionId, IsSales, IsPM, IsUserAdvocate) VALUES ((SELECT ContactId FROM Contact WHERE Name = 'Carlos Aguera'), (SELECT ProductLineId FROM ProductLine WHERE Name = 'STAAD'), (SELECT RegionID FROM Region WHERE Name = 'Africa'),0,1,0);</v>
      </c>
      <c r="D39" t="str">
        <f>assignmentSQL('Master Table'!D39,'Master Table'!D$1,'Master Table'!$A39,'Master Table'!$B39)</f>
        <v>INSERT INTO Contact_ProductLine_Map (ContactId, ProductLineId, RegionId, IsSales, IsPM, IsUserAdvocate) VALUES ((SELECT ContactId FROM Contact WHERE Name = 'Allen Adams'), (SELECT ProductLineId FROM ProductLine WHERE Name = 'RAM'), (SELECT RegionID FROM Region WHERE Name = 'Africa'),0,1,0);</v>
      </c>
      <c r="E39" t="str">
        <f>assignmentSQL('Master Table'!E39,'Master Table'!E$1,'Master Table'!$A39,'Master Table'!$B39)</f>
        <v>INSERT INTO Contact_ProductLine_Map (ContactId, ProductLineId, RegionId, IsSales, IsPM, IsUserAdvocate) VALUES ((SELECT ContactId FROM Contact WHERE Name = 'Luke Andrew'), (SELECT ProductLineId FROM ProductLine WHERE Name = 'AUTOPIPE'), (SELECT RegionID FROM Region WHERE Name = 'Africa'),0,1,0);INSERT INTO Contact_ProductLine_Map (ContactId, ProductLineId, RegionId, IsSales, IsPM, IsUserAdvocate) VALUES ((SELECT ContactId FROM Contact WHERE Name = 'Sudip Goswami'), (SELECT ProductLineId FROM ProductLine WHERE Name = 'AUTOPIPE'), (SELECT RegionID FROM Region WHERE Name = 'Africa'),0,1,0);</v>
      </c>
      <c r="F39" t="str">
        <f>assignmentSQL('Master Table'!F39,'Master Table'!F$1,'Master Table'!$A39,'Master Table'!$B39)</f>
        <v>INSERT INTO Contact_ProductLine_Map (ContactId, ProductLineId, RegionId, IsSales, IsPM, IsUserAdvocate) VALUES ((SELECT ContactId FROM Contact WHERE Name = 'Parvinder Jhita'), (SELECT ProductLineId FROM ProductLine WHERE Name = 'SACS'), (SELECT RegionID FROM Region WHERE Name = 'Africa'),0,1,0);</v>
      </c>
      <c r="G39" t="str">
        <f>assignmentSQL('Master Table'!G39,'Master Table'!G$1,'Master Table'!$A39,'Master Table'!$B39)</f>
        <v>INSERT INTO Contact_ProductLine_Map (ContactId, ProductLineId, RegionId, IsSales, IsPM, IsUserAdvocate) VALUES ((SELECT ContactId FROM Contact WHERE Name = 'Pat Couser'), (SELECT ProductLineId FROM ProductLine WHERE Name = 'MAXSURF'), (SELECT RegionID FROM Region WHERE Name = 'Africa'),0,1,0);</v>
      </c>
      <c r="H39" t="str">
        <f>assignmentSQL('Master Table'!H39,'Master Table'!H$1,'Master Table'!$A39,'Master Table'!$B39)</f>
        <v>INSERT INTO Contact_ProductLine_Map (ContactId, ProductLineId, RegionId, IsSales, IsPM, IsUserAdvocate) VALUES ((SELECT ContactId FROM Contact WHERE Name = 'Georgina Maldonado'), (SELECT ProductLineId FROM ProductLine WHERE Name = 'MOSES'), (SELECT RegionID FROM Region WHERE Name = 'Africa'),0,1,0);</v>
      </c>
      <c r="I39" t="str">
        <f>assignmentSQL('Master Table'!I39,'Master Table'!I$1,'Master Table'!$A39,'Master Table'!$B39)</f>
        <v>INSERT INTO Contact_ProductLine_Map (ContactId, ProductLineId, RegionId, IsSales, IsPM, IsUserAdvocate) VALUES ((SELECT ContactId FROM Contact WHERE Name = 'Gregor Strekelj'), (SELECT ProductLineId FROM ProductLine WHERE Name = 'RM'), (SELECT RegionID FROM Region WHERE Name = 'Africa'),0,1,0);</v>
      </c>
      <c r="J39" t="str">
        <f>assignmentSQL('Master Table'!J39,'Master Table'!J$1,'Master Table'!$A39,'Master Table'!$B39)</f>
        <v>INSERT INTO Contact_ProductLine_Map (ContactId, ProductLineId, RegionId, IsSales, IsPM, IsUserAdvocate) VALUES ((SELECT ContactId FROM Contact WHERE Name = 'Xin Luo'), (SELECT ProductLineId FROM ProductLine WHERE Name = 'LEAP'), (SELECT RegionID FROM Region WHERE Name = 'Africa'),0,1,0);</v>
      </c>
      <c r="K39" t="str">
        <f>assignmentSQL('Master Table'!K39,'Master Table'!K$1,'Master Table'!$A39,'Master Table'!$B39)</f>
        <v>INSERT INTO Contact_ProductLine_Map (ContactId, ProductLineId, RegionId, IsSales, IsPM, IsUserAdvocate) VALUES ((SELECT ContactId FROM Contact WHERE Name = 'Sri Kanneganti'), (SELECT ProductLineId FROM ProductLine WHERE Name = 'OBM'), (SELECT RegionID FROM Region WHERE Name = 'Africa'),0,1,0);</v>
      </c>
      <c r="L39" t="str">
        <f>assignmentSQL('Master Table'!L39,'Master Table'!L$1,'Master Table'!$A39,'Master Table'!$B39)</f>
        <v>INSERT INTO Contact_ProductLine_Map (ContactId, ProductLineId, RegionId, IsSales, IsPM, IsUserAdvocate) VALUES ((SELECT ContactId FROM Contact WHERE Name = 'Bill Beyer'), (SELECT ProductLineId FROM ProductLine WHERE Name = 'LARS'), (SELECT RegionID FROM Region WHERE Name = 'Africa'),0,1,0);</v>
      </c>
      <c r="M39" t="str">
        <f>assignmentSQL('Master Table'!M39,'Master Table'!M$1,'Master Table'!$A39,'Master Table'!$B39)</f>
        <v>INSERT INTO Contact_ProductLine_Map (ContactId, ProductLineId, RegionId, IsSales, IsPM, IsUserAdvocate) VALUES ((SELECT ContactId FROM Contact WHERE Name = 'David Settlemeyer'), (SELECT ProductLineId FROM ProductLine WHERE Name = 'SITEOPS'), (SELECT RegionID FROM Region WHERE Name = 'Africa'),0,1,0);</v>
      </c>
      <c r="N39" t="str">
        <f>assignmentSQL('Master Table'!N39,'Master Table'!N$1,'Master Table'!$A39,'Master Table'!$B39)</f>
        <v>INSERT INTO Contact_ProductLine_Map (ContactId, ProductLineId, RegionId, IsSales, IsPM, IsUserAdvocate) VALUES ((SELECT ContactId FROM Contact WHERE Name = 'Andy Smith'), (SELECT ProductLineId FROM ProductLine WHERE Name = 'AECOsim Building Designer'), (SELECT RegionID FROM Region WHERE Name = 'Africa'),0,1,0);</v>
      </c>
      <c r="O39" t="str">
        <f>assignmentSQL('Master Table'!O39,'Master Table'!O$1,'Master Table'!$A39,'Master Table'!$B39)</f>
        <v>INSERT INTO Contact_ProductLine_Map (ContactId, ProductLineId, RegionId, IsSales, IsPM, IsUserAdvocate) VALUES ((SELECT ContactId FROM Contact WHERE Name = 'Andy Smith'), (SELECT ProductLineId FROM ProductLine WHERE Name = 'speedikon'), (SELECT RegionID FROM Region WHERE Name = 'Africa'),0,1,0);</v>
      </c>
      <c r="P39" t="str">
        <f>assignmentSQL('Master Table'!P39,'Master Table'!P$1,'Master Table'!$A39,'Master Table'!$B39)</f>
        <v>INSERT INTO Contact_ProductLine_Map (ContactId, ProductLineId, RegionId, IsSales, IsPM, IsUserAdvocate) VALUES ((SELECT ContactId FROM Contact WHERE Name = 'Paul Demetriou'), (SELECT ProductLineId FROM ProductLine WHERE Name = 'Hevacomp'), (SELECT RegionID FROM Region WHERE Name = 'Africa'),0,1,0);</v>
      </c>
      <c r="Q39" t="str">
        <f>assignmentSQL('Master Table'!Q39,'Master Table'!Q$1,'Master Table'!$A39,'Master Table'!$B39)</f>
        <v>INSERT INTO Contact_ProductLine_Map (ContactId, ProductLineId, RegionId, IsSales, IsPM, IsUserAdvocate) VALUES ((SELECT ContactId FROM Contact WHERE Name = 'Ian Rosam'), (SELECT ProductLineId FROM ProductLine WHERE Name = 'GEOPAK'), (SELECT RegionID FROM Region WHERE Name = 'Africa'),0,1,0);</v>
      </c>
      <c r="R39" t="str">
        <f>assignmentSQL('Master Table'!R39,'Master Table'!R$1,'Master Table'!$A39,'Master Table'!$B39)</f>
        <v>INSERT INTO Contact_ProductLine_Map (ContactId, ProductLineId, RegionId, IsSales, IsPM, IsUserAdvocate) VALUES ((SELECT ContactId FROM Contact WHERE Name = 'Ian Rosam'), (SELECT ProductLineId FROM ProductLine WHERE Name = 'InRoads'), (SELECT RegionID FROM Region WHERE Name = 'Africa'),0,1,0);</v>
      </c>
      <c r="S39" t="str">
        <f>assignmentSQL('Master Table'!S39,'Master Table'!S$1,'Master Table'!$A39,'Master Table'!$B39)</f>
        <v>INSERT INTO Contact_ProductLine_Map (ContactId, ProductLineId, RegionId, IsSales, IsPM, IsUserAdvocate) VALUES ((SELECT ContactId FROM Contact WHERE Name = 'Ian Rosam'), (SELECT ProductLineId FROM ProductLine WHERE Name = 'MX'), (SELECT RegionID FROM Region WHERE Name = 'Africa'),0,1,0);</v>
      </c>
      <c r="T39" t="str">
        <f>assignmentSQL('Master Table'!T39,'Master Table'!T$1,'Master Table'!$A39,'Master Table'!$B39)</f>
        <v>INSERT INTO Contact_ProductLine_Map (ContactId, ProductLineId, RegionId, IsSales, IsPM, IsUserAdvocate) VALUES ((SELECT ContactId FROM Contact WHERE Name = 'Kivanc Karakas'), (SELECT ProductLineId FROM ProductLine WHERE Name = 'OpenRail'), (SELECT RegionID FROM Region WHERE Name = 'Africa'),0,1,0);</v>
      </c>
      <c r="U39" t="str">
        <f>assignmentSQL('Master Table'!U39,'Master Table'!U$1,'Master Table'!$A39,'Master Table'!$B39)</f>
        <v>INSERT INTO Contact_ProductLine_Map (ContactId, ProductLineId, RegionId, IsSales, IsPM, IsUserAdvocate) VALUES ((SELECT ContactId FROM Contact WHERE Name = 'Ian Rosam'), (SELECT ProductLineId FROM ProductLine WHERE Name = 'OpenRoads'), (SELECT RegionID FROM Region WHERE Name = 'Africa'),0,1,0);</v>
      </c>
      <c r="V39" t="str">
        <f>assignmentSQL('Master Table'!V39,'Master Table'!V$1,'Master Table'!$A39,'Master Table'!$B39)</f>
        <v>INSERT INTO Contact_ProductLine_Map (ContactId, ProductLineId, RegionId, IsSales, IsPM, IsUserAdvocate) VALUES ((SELECT ContactId FROM Contact WHERE Name = 'Francois Valois'), (SELECT ProductLineId FROM ProductLine WHERE Name = 'ConceptStation'), (SELECT RegionID FROM Region WHERE Name = 'Africa'),0,1,0);</v>
      </c>
      <c r="W39" t="str">
        <f>assignmentSQL('Master Table'!W39,'Master Table'!W$1,'Master Table'!$A39,'Master Table'!$B39)</f>
        <v>INSERT INTO Contact_ProductLine_Map (ContactId, ProductLineId, RegionId, IsSales, IsPM, IsUserAdvocate) VALUES ((SELECT ContactId FROM Contact WHERE Name = 'Nicolas Loubier'), (SELECT ProductLineId FROM ProductLine WHERE Name = 'gINT'), (SELECT RegionID FROM Region WHERE Name = 'Africa'),0,1,0);</v>
      </c>
      <c r="X39" t="str">
        <f>assignmentSQL('Master Table'!X39,'Master Table'!X$1,'Master Table'!$A39,'Master Table'!$B39)</f>
        <v>INSERT INTO Contact_ProductLine_Map (ContactId, ProductLineId, RegionId, IsSales, IsPM, IsUserAdvocate) VALUES ((SELECT ContactId FROM Contact WHERE Name = 'Adnan Ulhaq'), (SELECT ProductLineId FROM ProductLine WHERE Name = 'AutoPLANT'), (SELECT RegionID FROM Region WHERE Name = 'Africa'),0,1,0);</v>
      </c>
      <c r="Y39" t="str">
        <f>assignmentSQL('Master Table'!Y39,'Master Table'!Y$1,'Master Table'!$A39,'Master Table'!$B39)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'Africa'),0,1,0);</v>
      </c>
      <c r="Z39" t="str">
        <f>assignmentSQL('Master Table'!Z39,'Master Table'!Z$1,'Master Table'!$A39,'Master Table'!$B39)</f>
        <v>INSERT INTO Contact_ProductLine_Map (ContactId, ProductLineId, RegionId, IsSales, IsPM, IsUserAdvocate) VALUES ((SELECT ContactId FROM Contact WHERE Name = 'Abbas Ali'), (SELECT ProductLineId FROM ProductLine WHERE Name = 'OpenPlant'), (SELECT RegionID FROM Region WHERE Name = 'Africa'),0,1,0);</v>
      </c>
      <c r="AA39" t="str">
        <f>assignmentSQL('Master Table'!AA39,'Master Table'!AA$1,'Master Table'!$A39,'Master Table'!$B39)</f>
        <v>INSERT INTO Contact_ProductLine_Map (ContactId, ProductLineId, RegionId, IsSales, IsPM, IsUserAdvocate) VALUES ((SELECT ContactId FROM Contact WHERE Name = 'Rob Harper'), (SELECT ProductLineId FROM ProductLine WHERE Name = 'PlantSpace'), (SELECT RegionID FROM Region WHERE Name = 'Africa'),0,1,0);</v>
      </c>
      <c r="AB39" t="str">
        <f>assignmentSQL('Master Table'!AB39,'Master Table'!AB$1,'Master Table'!$A39,'Master Table'!$B39)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'Africa'),0,1,0);</v>
      </c>
      <c r="AC39" t="str">
        <f>assignmentSQL('Master Table'!AC39,'Master Table'!AC$1,'Master Table'!$A39,'Master Table'!$B39)</f>
        <v>INSERT INTO Contact_ProductLine_Map (ContactId, ProductLineId, RegionId, IsSales, IsPM, IsUserAdvocate) VALUES ((SELECT ContactId FROM Contact WHERE Name = 'Tim Lawrence'), (SELECT ProductLineId FROM ProductLine WHERE Name = 'Plantwise'), (SELECT RegionID FROM Region WHERE Name = 'Africa'),0,1,0);</v>
      </c>
      <c r="AD39" t="str">
        <f>assignmentSQL('Master Table'!AD39,'Master Table'!AD$1,'Master Table'!$A39,'Master Table'!$B39)</f>
        <v>INSERT INTO Contact_ProductLine_Map (ContactId, ProductLineId, RegionId, IsSales, IsPM, IsUserAdvocate) VALUES ((SELECT ContactId FROM Contact WHERE Name = 'Benoit Frederique'), (SELECT ProductLineId FROM ProductLine WHERE Name = 'Pointools'), (SELECT RegionID FROM Region WHERE Name = 'Africa'),0,1,0);</v>
      </c>
      <c r="AE39" t="str">
        <f>assignmentSQL('Master Table'!AE39,'Master Table'!AE$1,'Master Table'!$A39,'Master Table'!$B39)</f>
        <v>INSERT INTO Contact_ProductLine_Map (ContactId, ProductLineId, RegionId, IsSales, IsPM, IsUserAdvocate) VALUES ((SELECT ContactId FROM Contact WHERE Name = 'Benoit Frederique'), (SELECT ProductLineId FROM ProductLine WHERE Name = 'LumenRT'), (SELECT RegionID FROM Region WHERE Name = 'Africa'),0,1,0);</v>
      </c>
      <c r="AF39" t="str">
        <f>assignmentSQL('Master Table'!AF39,'Master Table'!AF$1,'Master Table'!$A39,'Master Table'!$B39)</f>
        <v>INSERT INTO Contact_ProductLine_Map (ContactId, ProductLineId, RegionId, IsSales, IsPM, IsUserAdvocate) VALUES ((SELECT ContactId FROM Contact WHERE Name = 'Benoit Frederique'), (SELECT ProductLineId FROM ProductLine WHERE Name = 'ContextCapture'), (SELECT RegionID FROM Region WHERE Name = 'Africa'),0,1,0);</v>
      </c>
      <c r="AG39" t="str">
        <f>assignmentSQL('Master Table'!AG39,'Master Table'!AG$1,'Master Table'!$A39,'Master Table'!$B39)</f>
        <v>INSERT INTO Contact_ProductLine_Map (ContactId, ProductLineId, RegionId, IsSales, IsPM, IsUserAdvocate) VALUES ((SELECT ContactId FROM Contact WHERE Name = 'Benoit Frederique'), (SELECT ProductLineId FROM ProductLine WHERE Name = 'Descartes'), (SELECT RegionID FROM Region WHERE Name = 'Africa'),0,1,0);</v>
      </c>
      <c r="AH39" t="str">
        <f>assignmentSQL('Master Table'!AH39,'Master Table'!AH$1,'Master Table'!$A39,'Master Table'!$B39)</f>
        <v>INSERT INTO Contact_ProductLine_Map (ContactId, ProductLineId, RegionId, IsSales, IsPM, IsUserAdvocate) VALUES ((SELECT ContactId FROM Contact WHERE Name = 'Jim Barr'), (SELECT ProductLineId FROM ProductLine WHERE Name = 'ProStructures'), (SELECT RegionID FROM Region WHERE Name = 'Africa'),0,1,0);</v>
      </c>
      <c r="AI39" t="str">
        <f>assignmentSQL('Master Table'!AI39,'Master Table'!AI$1,'Master Table'!$A39,'Master Table'!$B39)</f>
        <v>INSERT INTO Contact_ProductLine_Map (ContactId, ProductLineId, RegionId, IsSales, IsPM, IsUserAdvocate) VALUES ((SELECT ContactId FROM Contact WHERE Name = 'Slavica Bozic'), (SELECT ProductLineId FROM ProductLine WHERE Name = 'promis*e'), (SELECT RegionID FROM Region WHERE Name = 'Africa'),0,1,0);</v>
      </c>
      <c r="AJ39" t="str">
        <f>assignmentSQL('Master Table'!AJ39,'Master Table'!AJ$1,'Master Table'!$A39,'Master Table'!$B39)</f>
        <v>INSERT INTO Contact_ProductLine_Map (ContactId, ProductLineId, RegionId, IsSales, IsPM, IsUserAdvocate) VALUES ((SELECT ContactId FROM Contact WHERE Name = 'Jim Newman'), (SELECT ProductLineId FROM ProductLine WHERE Name = 'AssetWise'), (SELECT RegionID FROM Region WHERE Name = 'Africa'),0,1,0);</v>
      </c>
      <c r="AK39" t="str">
        <f>assignmentSQL('Master Table'!AK39,'Master Table'!AK$1,'Master Table'!$A39,'Master Table'!$B39)</f>
        <v>INSERT INTO Contact_ProductLine_Map (ContactId, ProductLineId, RegionId, IsSales, IsPM, IsUserAdvocate) VALUES ((SELECT ContactId FROM Contact WHERE Name = 'Aaron Beazley'), (SELECT ProductLineId FROM ProductLine WHERE Name = 'AssetWise APM'), (SELECT RegionID FROM Region WHERE Name = 'Africa'),0,1,0);</v>
      </c>
      <c r="AL39" t="str">
        <f>assignmentSQL('Master Table'!AL39,'Master Table'!AL$1,'Master Table'!$A39,'Master Table'!$B39)</f>
        <v>INSERT INTO Contact_ProductLine_Map (ContactId, ProductLineId, RegionId, IsSales, IsPM, IsUserAdvocate) VALUES ((SELECT ContactId FROM Contact WHERE Name = 'Gijsbert Noordam'), (SELECT ProductLineId FROM ProductLine WHERE Name = 'OpenUtilities'), (SELECT RegionID FROM Region WHERE Name = 'Africa'),0,1,0);</v>
      </c>
      <c r="AM39" t="str">
        <f>assignmentSQL('Master Table'!AM39,'Master Table'!AM$1,'Master Table'!$A39,'Master Table'!$B39)</f>
        <v>INSERT INTO Contact_ProductLine_Map (ContactId, ProductLineId, RegionId, IsSales, IsPM, IsUserAdvocate) VALUES ((SELECT ContactId FROM Contact WHERE Name = 'Gregg Herrin'), (SELECT ProductLineId FROM ProductLine WHERE Name = 'Map'), (SELECT RegionID FROM Region WHERE Name = 'Africa'),0,1,0);</v>
      </c>
      <c r="AN39" t="str">
        <f>assignmentSQL('Master Table'!AN39,'Master Table'!AN$1,'Master Table'!$A39,'Master Table'!$B39)</f>
        <v>INSERT INTO Contact_ProductLine_Map (ContactId, ProductLineId, RegionId, IsSales, IsPM, IsUserAdvocate) VALUES ((SELECT ContactId FROM Contact WHERE Name = 'Gijsbert Noordam'), (SELECT ProductLineId FROM ProductLine WHERE Name = 'OpenComms'), (SELECT RegionID FROM Region WHERE Name = 'Africa'),0,1,0);</v>
      </c>
      <c r="AO39" t="str">
        <f>assignmentSQL('Master Table'!AO39,'Master Table'!AO$1,'Master Table'!$A39,'Master Table'!$B39)</f>
        <v>INSERT INTO Contact_ProductLine_Map (ContactId, ProductLineId, RegionId, IsSales, IsPM, IsUserAdvocate) VALUES ((SELECT ContactId FROM Contact WHERE Name = 'Russell Page'), (SELECT ProductLineId FROM ProductLine WHERE Name = 'Exor'), (SELECT RegionID FROM Region WHERE Name = 'Africa'),0,1,0);</v>
      </c>
      <c r="AP39" t="str">
        <f>assignmentSQL('Master Table'!AP39,'Master Table'!AP$1,'Master Table'!$A39,'Master Table'!$B39)</f>
        <v>INSERT INTO Contact_ProductLine_Map (ContactId, ProductLineId, RegionId, IsSales, IsPM, IsUserAdvocate) VALUES ((SELECT ContactId FROM Contact WHERE Name = 'Mal Sharkey'), (SELECT ProductLineId FROM ProductLine WHERE Name = 'Haestad'), (SELECT RegionID FROM Region WHERE Name = 'Africa'),0,1,0);</v>
      </c>
      <c r="AQ39" t="str">
        <f>assignmentSQL('Master Table'!AQ39,'Master Table'!AQ$1,'Master Table'!$A39,'Master Table'!$B39)</f>
        <v>INSERT INTO Contact_ProductLine_Map (ContactId, ProductLineId, RegionId, IsSales, IsPM, IsUserAdvocate) VALUES ((SELECT ContactId FROM Contact WHERE Name = 'Aaron Beazily'), (SELECT ProductLineId FROM ProductLine WHERE Name = 'Optram'), (SELECT RegionID FROM Region WHERE Name = 'Africa'),0,1,0);</v>
      </c>
      <c r="AR39" t="str">
        <f>assignmentSQL('Master Table'!AR39,'Master Table'!AR$1,'Master Table'!$A39,'Master Table'!$B39)</f>
        <v>INSERT INTO Contact_ProductLine_Map (ContactId, ProductLineId, RegionId, IsSales, IsPM, IsUserAdvocate) VALUES ((SELECT ContactId FROM Contact WHERE Name = 'Jim Scott'), (SELECT ProductLineId FROM ProductLine WHERE Name = 'SUPERLOAD'), (SELECT RegionID FROM Region WHERE Name = 'Africa'),0,1,0);</v>
      </c>
      <c r="AS39" t="str">
        <f>assignmentSQL('Master Table'!AS39,'Master Table'!AS$1,'Master Table'!$A39,'Master Table'!$B39)</f>
        <v>INSERT INTO Contact_ProductLine_Map (ContactId, ProductLineId, RegionId, IsSales, IsPM, IsUserAdvocate) VALUES ((SELECT ContactId FROM Contact WHERE Name = 'Duncan Rodger'), (SELECT ProductLineId FROM ProductLine WHERE Name = 'Amulet'), (SELECT RegionID FROM Region WHERE Name = 'Africa'),0,1,0);</v>
      </c>
      <c r="AT39" t="str">
        <f>assignmentSQL('Master Table'!AT39,'Master Table'!AT$1,'Master Table'!$A39,'Master Table'!$B39)</f>
        <v>INSERT INTO Contact_ProductLine_Map (ContactId, ProductLineId, RegionId, IsSales, IsPM, IsUserAdvocate) VALUES ((SELECT ContactId FROM Contact WHERE Name = 'Taylor Gilmore'), (SELECT ProductLineId FROM ProductLine WHERE Name = 'InspectTech'), (SELECT RegionID FROM Region WHERE Name = 'Africa'),0,1,0);</v>
      </c>
      <c r="AU39" t="str">
        <f>assignmentSQL('Master Table'!AU39,'Master Table'!AU$1,'Master Table'!$A39,'Master Table'!$B39)</f>
        <v>INSERT INTO Contact_ProductLine_Map (ContactId, ProductLineId, RegionId, IsSales, IsPM, IsUserAdvocate) VALUES ((SELECT ContactId FROM Contact WHERE Name = 'Paolomee Udani'), (SELECT ProductLineId FROM ProductLine WHERE Name = 'ConstructSim Work Package Server'), (SELECT RegionID FROM Region WHERE Name = 'Africa'),0,1,0);</v>
      </c>
      <c r="AV39" t="str">
        <f>assignmentSQL('Master Table'!AV39,'Master Table'!AV$1,'Master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Design Integration'), (SELECT RegionID FROM Region WHERE Name = 'Africa'),0,1,0);</v>
      </c>
      <c r="AW39" t="str">
        <f>assignmentSQL('Master Table'!AW39,'Master Table'!AW$1,'Master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Issues Resolution'), (SELECT RegionID FROM Region WHERE Name = 'Africa'),0,1,0);</v>
      </c>
      <c r="AX39" t="str">
        <f>assignmentSQL('Master Table'!AX39,'Master Table'!AX$1,'Master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Explorer Civil 3D Integration Module'), (SELECT RegionID FROM Region WHERE Name = 'Africa'),0,1,0);</v>
      </c>
      <c r="AY39" t="str">
        <f>assignmentSQL('Master Table'!AY39,'Master Table'!AY$1,'Master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Explorer Revit Integration Module'), (SELECT RegionID FROM Region WHERE Name = 'Africa'),0,1,0);</v>
      </c>
      <c r="AZ39" t="str">
        <f>assignmentSQL('Master Table'!AZ39,'Master Table'!AZ$1,'Master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Explorer Office Integration Module'), (SELECT RegionID FROM Region WHERE Name = 'Africa'),0,1,0);</v>
      </c>
      <c r="BA39" t="str">
        <f>assignmentSQL('Master Table'!BA39,'Master Table'!BA$1,'Master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Edge Mobile'), (SELECT RegionID FROM Region WHERE Name = 'Africa'),0,1,0);INSERT INTO Contact_ProductLine_Map (ContactId, ProductLineId, RegionId, IsSales, IsPM, IsUserAdvocate) VALUES ((SELECT ContactId FROM Contact WHERE Name = 'Ranveer Basra'), (SELECT ProductLineId FROM ProductLine WHERE Name = 'ProjectWise Edge Mobile'), (SELECT RegionID FROM Region WHERE Name = 'Africa'),0,1,0);</v>
      </c>
      <c r="BB39" t="str">
        <f>assignmentSQL('Master Table'!BB39,'Master Table'!BB$1,'Master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WorkSite'), (SELECT RegionID FROM Region WHERE Name = 'Africa'),0,1,0);INSERT INTO Contact_ProductLine_Map (ContactId, ProductLineId, RegionId, IsSales, IsPM, IsUserAdvocate) VALUES ((SELECT ContactId FROM Contact WHERE Name = 'Ranveer Basra'), (SELECT ProductLineId FROM ProductLine WHERE Name = 'ProjectWise WorkSite'), (SELECT RegionID FROM Region WHERE Name = 'Africa'),0,1,0);</v>
      </c>
      <c r="BC39" t="str">
        <f>assignmentSQL('Master Table'!BC39,'Master Table'!BC$1,'Master Table'!$A39,'Master Table'!$B39)</f>
        <v>INSERT INTO Contact_ProductLine_Map (ContactId, ProductLineId, RegionId, IsSales, IsPM, IsUserAdvocate) VALUES ((SELECT ContactId FROM Contact WHERE Name = 'Bill McNamara'), (SELECT ProductLineId FROM ProductLine WHERE Name = 'ProjectWise Edge'), (SELECT RegionID FROM Region WHERE Name = 'Africa'),0,1,0);INSERT INTO Contact_ProductLine_Map (ContactId, ProductLineId, RegionId, IsSales, IsPM, IsUserAdvocate) VALUES ((SELECT ContactId FROM Contact WHERE Name = 'Ranveer Basra'), (SELECT ProductLineId FROM ProductLine WHERE Name = 'ProjectWise Edge'), (SELECT RegionID FROM Region WHERE Name = 'Africa'),0,1,0);</v>
      </c>
      <c r="BD39" t="str">
        <f>assignmentSQL('Master Table'!BD39,'Master Table'!BD$1,'Master Table'!$A39,'Master Table'!$B39)</f>
        <v>INSERT INTO Contact_ProductLine_Map (ContactId, ProductLineId, RegionId, IsSales, IsPM, IsUserAdvocate) VALUES ((SELECT ContactId FROM Contact WHERE Name = 'Joe Granville'), (SELECT ProductLineId FROM ProductLine WHERE Name = 'Navigator CE'), (SELECT RegionID FROM Region WHERE Name = 'Africa'),0,1,0);</v>
      </c>
      <c r="BE39" t="str">
        <f>assignmentSQL('Master Table'!BE39,'Master Table'!BE$1,'Master Table'!$A39,'Master Table'!$B39)</f>
        <v>INSERT INTO Contact_ProductLine_Map (ContactId, ProductLineId, RegionId, IsSales, IsPM, IsUserAdvocate) VALUES ((SELECT ContactId FROM Contact WHERE Name = 'Beth Buerger'), (SELECT ProductLineId FROM ProductLine WHERE Name = 'Completions'), (SELECT RegionID FROM Region WHERE Name = 'Africa'),0,1,0);</v>
      </c>
      <c r="BF39" t="str">
        <f>assignmentSQL('Master Table'!BF39,'Master Table'!BF$1,'Master Table'!$A39,'Master Table'!$B39)</f>
        <v>INSERT INTO Contact_ProductLine_Map (ContactId, ProductLineId, RegionId, IsSales, IsPM, IsUserAdvocate) VALUES ((SELECT ContactId FROM Contact WHERE Name = 'Sam Stuart'), (SELECT ProductLineId FROM ProductLine WHERE Name = 'EADOC UI Upgrade'), (SELECT RegionID FROM Region WHERE Name = 'Africa'),0,1,0);</v>
      </c>
      <c r="BG39" t="str">
        <f>assignmentSQL('Master Table'!BG39,'Master Table'!BG$1,'Master Table'!$A39,'Master Table'!$B39)</f>
        <v>INSERT INTO Contact_ProductLine_Map (ContactId, ProductLineId, RegionId, IsSales, IsPM, IsUserAdvocate) VALUES ((SELECT ContactId FROM Contact WHERE Name = 'Rimantas Varanavicius'), (SELECT ProductLineId FROM ProductLine WHERE Name = 'Deliverables Management'), (SELECT RegionID FROM Region WHERE Name = 'Africa'),0,1,0);</v>
      </c>
      <c r="BH39" t="str">
        <f>assignmentSQL('Master Table'!BH39,'Master Table'!BH$1,'Master Table'!$A39,'Master Table'!$B39)</f>
        <v>INSERT INTO Contact_ProductLine_Map (ContactId, ProductLineId, RegionId, IsSales, IsPM, IsUserAdvocate) VALUES ((SELECT ContactId FROM Contact WHERE Name = 'Jo Wright'), (SELECT ProductLineId FROM ProductLine WHERE Name = 'Bentley Automation Service CONNECT Edition'), (SELECT RegionID FROM Region WHERE Name = 'Africa'),0,1,0);</v>
      </c>
      <c r="BI39" t="str">
        <f>assignmentSQL('Master Table'!BI39,'Master Table'!BI$1,'Master Table'!$A39,'Master Table'!$B39)</f>
        <v>INSERT INTO Contact_ProductLine_Map (ContactId, ProductLineId, RegionId, IsSales, IsPM, IsUserAdvocate) VALUES ((SELECT ContactId FROM Contact WHERE Name = 'Jo Wright'), (SELECT ProductLineId FROM ProductLine WHERE Name = 'ProjectWise "Field Data Management'), (SELECT RegionID FROM Region WHERE Name = 'Africa'),0,1,0);</v>
      </c>
      <c r="BJ39" t="str">
        <f>assignmentSQL('Master Table'!BJ39,'Master Table'!BJ$1,'Master Table'!$A39,'Master Table'!$B39)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PDF'), (SELECT RegionID FROM Region WHERE Name = 'Africa'),0,1,0);</v>
      </c>
      <c r="BK39" t="str">
        <f>assignmentSQL('Master Table'!BK39,'Master Table'!BK$1,'Master Table'!$A39,'Master Table'!$B39)</f>
        <v>INSERT INTO Contact_ProductLine_Map (ContactId, ProductLineId, RegionId, IsSales, IsPM, IsUserAdvocate) VALUES ((SELECT ContactId FROM Contact WHERE Name = 'Jo Wright'), (SELECT ProductLineId FROM ProductLine WHERE Name = 'ProjectWise InterPlot Server and Interplot Organizer'), (SELECT RegionID FROM Region WHERE Name = 'Africa'),0,1,0);</v>
      </c>
      <c r="BL39" t="str">
        <f>assignmentSQL('Master Table'!BL39,'Master Table'!BL$1,'Master Table'!$A39,'Master Table'!$B39)</f>
        <v>INSERT INTO Contact_ProductLine_Map (ContactId, ProductLineId, RegionId, IsSales, IsPM, IsUserAdvocate) VALUES ((SELECT ContactId FROM Contact WHERE Name = 'Jo Wright'), (SELECT ProductLineId FROM ProductLine WHERE Name = 'ProjectWise i-model Composition Server for i-models'), (SELECT RegionID FROM Region WHERE Name = 'Africa'),0,1,0);</v>
      </c>
    </row>
    <row r="40" spans="3:64" x14ac:dyDescent="0.25">
      <c r="C40" t="str">
        <f>assignmentSQL('Master Table'!C40,'Master Table'!C$1,'Master Table'!$A40,'Master Table'!$B40)</f>
        <v>INSERT INTO Contact_ProductLine_Map (ContactId, ProductLineId, RegionId, IsSales, IsPM, IsUserAdvocate) VALUES ((SELECT ContactId FROM Contact WHERE Name = 'Badr Ziane'), (SELECT ProductLineId FROM ProductLine WHERE Name = 'STAAD'), (SELECT RegionID FROM Region WHERE Name = 'Africa'),0,0,1);</v>
      </c>
      <c r="D40" t="str">
        <f>assignmentSQL('Master Table'!D40,'Master Table'!D$1,'Master Table'!$A40,'Master Table'!$B40)</f>
        <v>INSERT INTO Contact_ProductLine_Map (ContactId, ProductLineId, RegionId, IsSales, IsPM, IsUserAdvocate) VALUES ((SELECT ContactId FROM Contact WHERE Name = 'Richard Tully'), (SELECT ProductLineId FROM ProductLine WHERE Name = 'RAM'), (SELECT RegionID FROM Region WHERE Name = 'Africa'),0,0,1);</v>
      </c>
      <c r="E40" t="str">
        <f>assignmentSQL('Master Table'!E40,'Master Table'!E$1,'Master Table'!$A40,'Master Table'!$B40)</f>
        <v/>
      </c>
      <c r="F40" t="str">
        <f>assignmentSQL('Master Table'!F40,'Master Table'!F$1,'Master Table'!$A40,'Master Table'!$B40)</f>
        <v>INSERT INTO Contact_ProductLine_Map (ContactId, ProductLineId, RegionId, IsSales, IsPM, IsUserAdvocate) VALUES ((SELECT ContactId FROM Contact WHERE Name = 'Aby Paul'), (SELECT ProductLineId FROM ProductLine WHERE Name = 'SACS'), (SELECT RegionID FROM Region WHERE Name = 'Africa'),0,0,1);</v>
      </c>
      <c r="G40" t="str">
        <f>assignmentSQL('Master Table'!G40,'Master Table'!G$1,'Master Table'!$A40,'Master Table'!$B40)</f>
        <v>INSERT INTO Contact_ProductLine_Map (ContactId, ProductLineId, RegionId, IsSales, IsPM, IsUserAdvocate) VALUES ((SELECT ContactId FROM Contact WHERE Name = 'Ian Sevilla'), (SELECT ProductLineId FROM ProductLine WHERE Name = 'MAXSURF'), (SELECT RegionID FROM Region WHERE Name = 'Africa'),0,0,1);</v>
      </c>
      <c r="H40" t="str">
        <f>assignmentSQL('Master Table'!H40,'Master Table'!H$1,'Master Table'!$A40,'Master Table'!$B40)</f>
        <v>INSERT INTO Contact_ProductLine_Map (ContactId, ProductLineId, RegionId, IsSales, IsPM, IsUserAdvocate) VALUES ((SELECT ContactId FROM Contact WHERE Name = 'Rupesh Kumar'), (SELECT ProductLineId FROM ProductLine WHERE Name = 'MOSES'), (SELECT RegionID FROM Region WHERE Name = 'Africa'),0,0,1);</v>
      </c>
      <c r="I40" t="str">
        <f>assignmentSQL('Master Table'!I40,'Master Table'!I$1,'Master Table'!$A40,'Master Table'!$B40)</f>
        <v>INSERT INTO Contact_ProductLine_Map (ContactId, ProductLineId, RegionId, IsSales, IsPM, IsUserAdvocate) VALUES ((SELECT ContactId FROM Contact WHERE Name = 'Ignacio Almagro'), (SELECT ProductLineId FROM ProductLine WHERE Name = 'RM'), (SELECT RegionID FROM Region WHERE Name = 'Africa'),0,0,1);</v>
      </c>
      <c r="J40" t="str">
        <f>assignmentSQL('Master Table'!J40,'Master Table'!J$1,'Master Table'!$A40,'Master Table'!$B40)</f>
        <v>INSERT INTO Contact_ProductLine_Map (ContactId, ProductLineId, RegionId, IsSales, IsPM, IsUserAdvocate) VALUES ((SELECT ContactId FROM Contact WHERE Name = 'Ignacio Almagro'), (SELECT ProductLineId FROM ProductLine WHERE Name = 'LEAP'), (SELECT RegionID FROM Region WHERE Name = 'Africa'),0,0,1);</v>
      </c>
      <c r="K40" t="str">
        <f>assignmentSQL('Master Table'!K40,'Master Table'!K$1,'Master Table'!$A40,'Master Table'!$B40)</f>
        <v>INSERT INTO Contact_ProductLine_Map (ContactId, ProductLineId, RegionId, IsSales, IsPM, IsUserAdvocate) VALUES ((SELECT ContactId FROM Contact WHERE Name = 'Ignacio Almagro'), (SELECT ProductLineId FROM ProductLine WHERE Name = 'OBM'), (SELECT RegionID FROM Region WHERE Name = 'Africa'),0,0,1);</v>
      </c>
      <c r="L40" t="str">
        <f>assignmentSQL('Master Table'!L40,'Master Table'!L$1,'Master Table'!$A40,'Master Table'!$B40)</f>
        <v>INSERT INTO Contact_ProductLine_Map (ContactId, ProductLineId, RegionId, IsSales, IsPM, IsUserAdvocate) VALUES ((SELECT ContactId FROM Contact WHERE Name = 'Ignacio Almagro'), (SELECT ProductLineId FROM ProductLine WHERE Name = 'LARS'), (SELECT RegionID FROM Region WHERE Name = 'Africa'),0,0,1);</v>
      </c>
      <c r="M40" t="str">
        <f>assignmentSQL('Master Table'!M40,'Master Table'!M$1,'Master Table'!$A40,'Master Table'!$B40)</f>
        <v>INSERT INTO Contact_ProductLine_Map (ContactId, ProductLineId, RegionId, IsSales, IsPM, IsUserAdvocate) VALUES ((SELECT ContactId FROM Contact WHERE Name = 'Chris Croucher'), (SELECT ProductLineId FROM ProductLine WHERE Name = 'SITEOPS'), (SELECT RegionID FROM Region WHERE Name = 'Africa'),0,0,1);</v>
      </c>
      <c r="N40" t="str">
        <f>assignmentSQL('Master Table'!N40,'Master Table'!N$1,'Master Table'!$A40,'Master Table'!$B40)</f>
        <v>INSERT INTO Contact_ProductLine_Map (ContactId, ProductLineId, RegionId, IsSales, IsPM, IsUserAdvocate) VALUES ((SELECT ContactId FROM Contact WHERE Name = 'Susanne Trierscheid'), (SELECT ProductLineId FROM ProductLine WHERE Name = 'AECOsim Building Designer'), (SELECT RegionID FROM Region WHERE Name = 'Africa'),0,0,1);</v>
      </c>
      <c r="O40" t="str">
        <f>assignmentSQL('Master Table'!O40,'Master Table'!O$1,'Master Table'!$A40,'Master Table'!$B40)</f>
        <v>INSERT INTO Contact_ProductLine_Map (ContactId, ProductLineId, RegionId, IsSales, IsPM, IsUserAdvocate) VALUES ((SELECT ContactId FROM Contact WHERE Name = 'Steve Brown'), (SELECT ProductLineId FROM ProductLine WHERE Name = 'speedikon'), (SELECT RegionID FROM Region WHERE Name = 'Africa'),0,0,1);</v>
      </c>
      <c r="P40" t="str">
        <f>assignmentSQL('Master Table'!P40,'Master Table'!P$1,'Master Table'!$A40,'Master Table'!$B40)</f>
        <v>INSERT INTO Contact_ProductLine_Map (ContactId, ProductLineId, RegionId, IsSales, IsPM, IsUserAdvocate) VALUES ((SELECT ContactId FROM Contact WHERE Name = 'Steve Brown'), (SELECT ProductLineId FROM ProductLine WHERE Name = 'Hevacomp'), (SELECT RegionID FROM Region WHERE Name = 'Africa'),0,0,1);</v>
      </c>
      <c r="Q40" t="str">
        <f>assignmentSQL('Master Table'!Q40,'Master Table'!Q$1,'Master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'GEOPAK'), (SELECT RegionID FROM Region WHERE Name = 'Africa'),0,0,1);</v>
      </c>
      <c r="R40" t="str">
        <f>assignmentSQL('Master Table'!R40,'Master Table'!R$1,'Master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'InRoads'), (SELECT RegionID FROM Region WHERE Name = 'Africa'),0,0,1);</v>
      </c>
      <c r="S40" t="str">
        <f>assignmentSQL('Master Table'!S40,'Master Table'!S$1,'Master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'MX'), (SELECT RegionID FROM Region WHERE Name = 'Africa'),0,0,1);</v>
      </c>
      <c r="T40" t="str">
        <f>assignmentSQL('Master Table'!T40,'Master Table'!T$1,'Master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'OpenRail'), (SELECT RegionID FROM Region WHERE Name = 'Africa'),0,0,1);</v>
      </c>
      <c r="U40" t="str">
        <f>assignmentSQL('Master Table'!U40,'Master Table'!U$1,'Master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'OpenRoads'), (SELECT RegionID FROM Region WHERE Name = 'Africa'),0,0,1);</v>
      </c>
      <c r="V40" t="str">
        <f>assignmentSQL('Master Table'!V40,'Master Table'!V$1,'Master Table'!$A40,'Master Table'!$B40)</f>
        <v>INSERT INTO Contact_ProductLine_Map (ContactId, ProductLineId, RegionId, IsSales, IsPM, IsUserAdvocate) VALUES ((SELECT ContactId FROM Contact WHERE Name = 'Kevin McDonald'), (SELECT ProductLineId FROM ProductLine WHERE Name = 'ConceptStation'), (SELECT RegionID FROM Region WHERE Name = 'Africa'),0,0,1);</v>
      </c>
      <c r="W40" t="str">
        <f>assignmentSQL('Master Table'!W40,'Master Table'!W$1,'Master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'gINT'), (SELECT RegionID FROM Region WHERE Name = 'Africa'),0,0,1);</v>
      </c>
      <c r="X40" t="str">
        <f>assignmentSQL('Master Table'!X40,'Master Table'!X$1,'Master Table'!$A40,'Master Table'!$B40)</f>
        <v>INSERT INTO Contact_ProductLine_Map (ContactId, ProductLineId, RegionId, IsSales, IsPM, IsUserAdvocate) VALUES ((SELECT ContactId FROM Contact WHERE Name = 'Quentin Levey'), (SELECT ProductLineId FROM ProductLine WHERE Name = 'AutoPLANT'), (SELECT RegionID FROM Region WHERE Name = 'Africa'),0,0,1);</v>
      </c>
      <c r="Y40" t="str">
        <f>assignmentSQL('Master Table'!Y40,'Master Table'!Y$1,'Master Table'!$A40,'Master Table'!$B40)</f>
        <v>INSERT INTO Contact_ProductLine_Map (ContactId, ProductLineId, RegionId, IsSales, IsPM, IsUserAdvocate) VALUES ((SELECT ContactId FROM Contact WHERE Name = 'Tim Lawrence'), (SELECT ProductLineId FROM ProductLine WHERE Name = 'AXSYS'), (SELECT RegionID FROM Region WHERE Name = 'Africa'),0,0,1);</v>
      </c>
      <c r="Z40" t="str">
        <f>assignmentSQL('Master Table'!Z40,'Master Table'!Z$1,'Master Table'!$A40,'Master Table'!$B40)</f>
        <v>INSERT INTO Contact_ProductLine_Map (ContactId, ProductLineId, RegionId, IsSales, IsPM, IsUserAdvocate) VALUES ((SELECT ContactId FROM Contact WHERE Name = 'Quentin Levey'), (SELECT ProductLineId FROM ProductLine WHERE Name = 'OpenPlant'), (SELECT RegionID FROM Region WHERE Name = 'Africa'),0,0,1);</v>
      </c>
      <c r="AA40" t="str">
        <f>assignmentSQL('Master Table'!AA40,'Master Table'!AA$1,'Master Table'!$A40,'Master Table'!$B40)</f>
        <v>INSERT INTO Contact_ProductLine_Map (ContactId, ProductLineId, RegionId, IsSales, IsPM, IsUserAdvocate) VALUES ((SELECT ContactId FROM Contact WHERE Name = 'Quentin Levey'), (SELECT ProductLineId FROM ProductLine WHERE Name = 'PlantSpace'), (SELECT RegionID FROM Region WHERE Name = 'Africa'),0,0,1);</v>
      </c>
      <c r="AB40" t="str">
        <f>assignmentSQL('Master Table'!AB40,'Master Table'!AB$1,'Master Table'!$A40,'Master Table'!$B40)</f>
        <v>INSERT INTO Contact_ProductLine_Map (ContactId, ProductLineId, RegionId, IsSales, IsPM, IsUserAdvocate) VALUES ((SELECT ContactId FROM Contact WHERE Name = 'Alain Beland'), (SELECT ProductLineId FROM ProductLine WHERE Name = 'MineCycle'), (SELECT RegionID FROM Region WHERE Name = 'Africa'),0,0,1);</v>
      </c>
      <c r="AC40" t="str">
        <f>assignmentSQL('Master Table'!AC40,'Master Table'!AC$1,'Master Table'!$A40,'Master Table'!$B40)</f>
        <v>INSERT INTO Contact_ProductLine_Map (ContactId, ProductLineId, RegionId, IsSales, IsPM, IsUserAdvocate) VALUES ((SELECT ContactId FROM Contact WHERE Name = 'Peter Alspaugh'), (SELECT ProductLineId FROM ProductLine WHERE Name = 'Plantwise'), (SELECT RegionID FROM Region WHERE Name = 'Africa'),0,0,1);</v>
      </c>
      <c r="AD40" t="str">
        <f>assignmentSQL('Master Table'!AD40,'Master Table'!AD$1,'Master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'Pointools'), (SELECT RegionID FROM Region WHERE Name = 'Africa'),0,0,1);</v>
      </c>
      <c r="AE40" t="str">
        <f>assignmentSQL('Master Table'!AE40,'Master Table'!AE$1,'Master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'LumenRT'), (SELECT RegionID FROM Region WHERE Name = 'Africa'),0,0,1);</v>
      </c>
      <c r="AF40" t="str">
        <f>assignmentSQL('Master Table'!AF40,'Master Table'!AF$1,'Master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'ContextCapture'), (SELECT RegionID FROM Region WHERE Name = 'Africa'),0,0,1);</v>
      </c>
      <c r="AG40" t="str">
        <f>assignmentSQL('Master Table'!AG40,'Master Table'!AG$1,'Master Table'!$A40,'Master Table'!$B40)</f>
        <v>INSERT INTO Contact_ProductLine_Map (ContactId, ProductLineId, RegionId, IsSales, IsPM, IsUserAdvocate) VALUES ((SELECT ContactId FROM Contact WHERE Name = 'Tsholo Nxumalo'), (SELECT ProductLineId FROM ProductLine WHERE Name = 'Descartes'), (SELECT RegionID FROM Region WHERE Name = 'Africa'),0,0,1);</v>
      </c>
      <c r="AH40" t="str">
        <f>assignmentSQL('Master Table'!AH40,'Master Table'!AH$1,'Master Table'!$A40,'Master Table'!$B40)</f>
        <v>INSERT INTO Contact_ProductLine_Map (ContactId, ProductLineId, RegionId, IsSales, IsPM, IsUserAdvocate) VALUES ((SELECT ContactId FROM Contact WHERE Name = 'Adam Smith'), (SELECT ProductLineId FROM ProductLine WHERE Name = 'ProStructures'), (SELECT RegionID FROM Region WHERE Name = 'Africa'),0,0,1);</v>
      </c>
      <c r="AI40" t="str">
        <f>assignmentSQL('Master Table'!AI40,'Master Table'!AI$1,'Master Table'!$A40,'Master Table'!$B40)</f>
        <v>INSERT INTO Contact_ProductLine_Map (ContactId, ProductLineId, RegionId, IsSales, IsPM, IsUserAdvocate) VALUES ((SELECT ContactId FROM Contact WHERE Name = 'Lawrence Yong'), (SELECT ProductLineId FROM ProductLine WHERE Name = 'promis*e'), (SELECT RegionID FROM Region WHERE Name = 'Africa'),0,0,1);</v>
      </c>
      <c r="AJ40" t="str">
        <f>assignmentSQL('Master Table'!AJ40,'Master Table'!AJ$1,'Master Table'!$A40,'Master Table'!$B40)</f>
        <v>INSERT INTO Contact_ProductLine_Map (ContactId, ProductLineId, RegionId, IsSales, IsPM, IsUserAdvocate) VALUES ((SELECT ContactId FROM Contact WHERE Name = 'Natasha Pieterse'), (SELECT ProductLineId FROM ProductLine WHERE Name = 'AssetWise'), (SELECT RegionID FROM Region WHERE Name = 'Africa'),0,0,1);</v>
      </c>
      <c r="AK40" t="str">
        <f>assignmentSQL('Master Table'!AK40,'Master Table'!AK$1,'Master Table'!$A40,'Master Table'!$B40)</f>
        <v>INSERT INTO Contact_ProductLine_Map (ContactId, ProductLineId, RegionId, IsSales, IsPM, IsUserAdvocate) VALUES ((SELECT ContactId FROM Contact WHERE Name = 'Harrie van Mullekom'), (SELECT ProductLineId FROM ProductLine WHERE Name = 'AssetWise APM'), (SELECT RegionID FROM Region WHERE Name = 'Africa'),0,0,1);</v>
      </c>
      <c r="AL40" t="str">
        <f>assignmentSQL('Master Table'!AL40,'Master Table'!AL$1,'Master Table'!$A40,'Master Table'!$B40)</f>
        <v>INSERT INTO Contact_ProductLine_Map (ContactId, ProductLineId, RegionId, IsSales, IsPM, IsUserAdvocate) VALUES ((SELECT ContactId FROM Contact WHERE Name = 'Linda Oliveira'), (SELECT ProductLineId FROM ProductLine WHERE Name = 'OpenUtilities'), (SELECT RegionID FROM Region WHERE Name = 'Africa'),0,0,1);</v>
      </c>
      <c r="AM40" t="str">
        <f>assignmentSQL('Master Table'!AM40,'Master Table'!AM$1,'Master Table'!$A40,'Master Table'!$B40)</f>
        <v>INSERT INTO Contact_ProductLine_Map (ContactId, ProductLineId, RegionId, IsSales, IsPM, IsUserAdvocate) VALUES ((SELECT ContactId FROM Contact WHERE Name = 'Jukka Kivela'), (SELECT ProductLineId FROM ProductLine WHERE Name = 'Map'), (SELECT RegionID FROM Region WHERE Name = 'Africa'),0,0,1);</v>
      </c>
      <c r="AN40" t="str">
        <f>assignmentSQL('Master Table'!AN40,'Master Table'!AN$1,'Master Table'!$A40,'Master Table'!$B40)</f>
        <v>INSERT INTO Contact_ProductLine_Map (ContactId, ProductLineId, RegionId, IsSales, IsPM, IsUserAdvocate) VALUES ((SELECT ContactId FROM Contact WHERE Name = 'Lon Opp'), (SELECT ProductLineId FROM ProductLine WHERE Name = 'OpenComms'), (SELECT RegionID FROM Region WHERE Name = 'Africa'),0,0,1);</v>
      </c>
      <c r="AO40" t="str">
        <f>assignmentSQL('Master Table'!AO40,'Master Table'!AO$1,'Master Table'!$A40,'Master Table'!$B40)</f>
        <v>INSERT INTO Contact_ProductLine_Map (ContactId, ProductLineId, RegionId, IsSales, IsPM, IsUserAdvocate) VALUES ((SELECT ContactId FROM Contact WHERE Name = 'Clive Hackforth'), (SELECT ProductLineId FROM ProductLine WHERE Name = 'Exor'), (SELECT RegionID FROM Region WHERE Name = 'Africa'),0,0,1);</v>
      </c>
      <c r="AP40" t="str">
        <f>assignmentSQL('Master Table'!AP40,'Master Table'!AP$1,'Master Table'!$A40,'Master Table'!$B40)</f>
        <v>INSERT INTO Contact_ProductLine_Map (ContactId, ProductLineId, RegionId, IsSales, IsPM, IsUserAdvocate) VALUES ((SELECT ContactId FROM Contact WHERE Name = 'Kristen Dietrich'), (SELECT ProductLineId FROM ProductLine WHERE Name = 'Haestad'), (SELECT RegionID FROM Region WHERE Name = 'Africa'),0,0,1);</v>
      </c>
      <c r="AQ40" t="str">
        <f>assignmentSQL('Master Table'!AQ40,'Master Table'!AQ$1,'Master Table'!$A40,'Master Table'!$B40)</f>
        <v>INSERT INTO Contact_ProductLine_Map (ContactId, ProductLineId, RegionId, IsSales, IsPM, IsUserAdvocate) VALUES ((SELECT ContactId FROM Contact WHERE Name = 'Joanna Slowinska'), (SELECT ProductLineId FROM ProductLine WHERE Name = 'Optram'), (SELECT RegionID FROM Region WHERE Name = 'Africa'),0,0,1);</v>
      </c>
      <c r="AR40" t="str">
        <f>assignmentSQL('Master Table'!AR40,'Master Table'!AR$1,'Master Table'!$A40,'Master Table'!$B40)</f>
        <v>INSERT INTO Contact_ProductLine_Map (ContactId, ProductLineId, RegionId, IsSales, IsPM, IsUserAdvocate) VALUES ((SELECT ContactId FROM Contact WHERE Name = 'Richard Ellis'), (SELECT ProductLineId FROM ProductLine WHERE Name = 'SUPERLOAD'), (SELECT RegionID FROM Region WHERE Name = 'Africa'),0,0,1);</v>
      </c>
      <c r="AS40" t="str">
        <f>assignmentSQL('Master Table'!AS40,'Master Table'!AS$1,'Master Table'!$A40,'Master Table'!$B40)</f>
        <v>INSERT INTO Contact_ProductLine_Map (ContactId, ProductLineId, RegionId, IsSales, IsPM, IsUserAdvocate) VALUES ((SELECT ContactId FROM Contact WHERE Name = 'Neil Pickin'), (SELECT ProductLineId FROM ProductLine WHERE Name = 'Amulet'), (SELECT RegionID FROM Region WHERE Name = 'Africa'),0,0,1);</v>
      </c>
      <c r="AT40" t="str">
        <f>assignmentSQL('Master Table'!AT40,'Master Table'!AT$1,'Master Table'!$A40,'Master Table'!$B40)</f>
        <v>INSERT INTO Contact_ProductLine_Map (ContactId, ProductLineId, RegionId, IsSales, IsPM, IsUserAdvocate) VALUES ((SELECT ContactId FROM Contact WHERE Name = 'Mark Mazzeo'), (SELECT ProductLineId FROM ProductLine WHERE Name = 'InspectTech'), (SELECT RegionID FROM Region WHERE Name = 'Africa'),0,0,1);</v>
      </c>
      <c r="AU40" t="str">
        <f>assignmentSQL('Master Table'!AU40,'Master Table'!AU$1,'Master Table'!$A40,'Master Table'!$B40)</f>
        <v>INSERT INTO Contact_ProductLine_Map (ContactId, ProductLineId, RegionId, IsSales, IsPM, IsUserAdvocate) VALUES ((SELECT ContactId FROM Contact WHERE Name = 'Paul Johnson'), (SELECT ProductLineId FROM ProductLine WHERE Name = 'ConstructSim Work Package Server'), (SELECT RegionID FROM Region WHERE Name = 'Africa'),0,0,1);</v>
      </c>
      <c r="AV40" t="str">
        <f>assignmentSQL('Master Table'!AV40,'Master Table'!AV$1,'Master Table'!$A40,'Master Table'!$B40)</f>
        <v>INSERT INTO Contact_ProductLine_Map (ContactId, ProductLineId, RegionId, IsSales, IsPM, IsUserAdvocate) VALUES ((SELECT ContactId FROM Contact WHERE Name = 'Amol Sonawane'), (SELECT ProductLineId FROM ProductLine WHERE Name = 'ProjectWise Design Integration'), (SELECT RegionID FROM Region WHERE Name = 'Africa'),0,0,1);</v>
      </c>
      <c r="AW40" t="str">
        <f>assignmentSQL('Master Table'!AW40,'Master Table'!AW$1,'Master Table'!$A40,'Master Table'!$B40)</f>
        <v>INSERT INTO Contact_ProductLine_Map (ContactId, ProductLineId, RegionId, IsSales, IsPM, IsUserAdvocate) VALUES ((SELECT ContactId FROM Contact WHERE Name = 'Justinas Verbickas'), (SELECT ProductLineId FROM ProductLine WHERE Name = 'ProjectWise Issues Resolution'), (SELECT RegionID FROM Region WHERE Name = 'Africa'),0,0,1);</v>
      </c>
      <c r="AX40" t="str">
        <f>assignmentSQL('Master Table'!AX40,'Master Table'!AX$1,'Master Table'!$A40,'Master Table'!$B40)</f>
        <v>INSERT INTO Contact_ProductLine_Map (ContactId, ProductLineId, RegionId, IsSales, IsPM, IsUserAdvocate) VALUES ((SELECT ContactId FROM Contact WHERE Name = 'Arturas Zidonis'), (SELECT ProductLineId FROM ProductLine WHERE Name = 'ProjectWise Explorer Civil 3D Integration Module'), (SELECT RegionID FROM Region WHERE Name = 'Africa'),0,0,1);</v>
      </c>
      <c r="AY40" t="str">
        <f>assignmentSQL('Master Table'!AY40,'Master Table'!AY$1,'Master Table'!$A40,'Master Table'!$B40)</f>
        <v>INSERT INTO Contact_ProductLine_Map (ContactId, ProductLineId, RegionId, IsSales, IsPM, IsUserAdvocate) VALUES ((SELECT ContactId FROM Contact WHERE Name = 'Arturas Zidonis'), (SELECT ProductLineId FROM ProductLine WHERE Name = 'ProjectWise Explorer Revit Integration Module'), (SELECT RegionID FROM Region WHERE Name = 'Africa'),0,0,1);</v>
      </c>
      <c r="AZ40" t="str">
        <f>assignmentSQL('Master Table'!AZ40,'Master Table'!AZ$1,'Master Table'!$A40,'Master Table'!$B40)</f>
        <v>INSERT INTO Contact_ProductLine_Map (ContactId, ProductLineId, RegionId, IsSales, IsPM, IsUserAdvocate) VALUES ((SELECT ContactId FROM Contact WHERE Name = 'Arturas Zidonis'), (SELECT ProductLineId FROM ProductLine WHERE Name = 'ProjectWise Explorer Office Integration Module'), (SELECT RegionID FROM Region WHERE Name = 'Africa'),0,0,1);</v>
      </c>
      <c r="BA40" t="str">
        <f>assignmentSQL('Master Table'!BA40,'Master Table'!BA$1,'Master Table'!$A40,'Master Table'!$B40)</f>
        <v>INSERT INTO Contact_ProductLine_Map (ContactId, ProductLineId, RegionId, IsSales, IsPM, IsUserAdvocate) VALUES ((SELECT ContactId FROM Contact WHERE Name = 'Justinas Verbickas'), (SELECT ProductLineId FROM ProductLine WHERE Name = 'ProjectWise Edge Mobile'), (SELECT RegionID FROM Region WHERE Name = 'Africa'),0,0,1);</v>
      </c>
      <c r="BB40" t="str">
        <f>assignmentSQL('Master Table'!BB40,'Master Table'!BB$1,'Master Table'!$A40,'Master Table'!$B40)</f>
        <v>INSERT INTO Contact_ProductLine_Map (ContactId, ProductLineId, RegionId, IsSales, IsPM, IsUserAdvocate) VALUES ((SELECT ContactId FROM Contact WHERE Name = 'Justinas Verbickas'), (SELECT ProductLineId FROM ProductLine WHERE Name = 'ProjectWise WorkSite'), (SELECT RegionID FROM Region WHERE Name = 'Africa'),0,0,1);</v>
      </c>
      <c r="BC40" t="str">
        <f>assignmentSQL('Master Table'!BC40,'Master Table'!BC$1,'Master Table'!$A40,'Master Table'!$B40)</f>
        <v>INSERT INTO Contact_ProductLine_Map (ContactId, ProductLineId, RegionId, IsSales, IsPM, IsUserAdvocate) VALUES ((SELECT ContactId FROM Contact WHERE Name = 'Justinas Verbickas'), (SELECT ProductLineId FROM ProductLine WHERE Name = 'ProjectWise Edge'), (SELECT RegionID FROM Region WHERE Name = 'Africa'),0,0,1);</v>
      </c>
      <c r="BD40" t="str">
        <f>assignmentSQL('Master Table'!BD40,'Master Table'!BD$1,'Master Table'!$A40,'Master Table'!$B40)</f>
        <v>INSERT INTO Contact_ProductLine_Map (ContactId, ProductLineId, RegionId, IsSales, IsPM, IsUserAdvocate) VALUES ((SELECT ContactId FROM Contact WHERE Name = 'Paul Johnson'), (SELECT ProductLineId FROM ProductLine WHERE Name = 'Navigator CE'), (SELECT RegionID FROM Region WHERE Name = 'Africa'),0,0,1);</v>
      </c>
      <c r="BE40" t="str">
        <f>assignmentSQL('Master Table'!BE40,'Master Table'!BE$1,'Master Table'!$A40,'Master Table'!$B40)</f>
        <v>INSERT INTO Contact_ProductLine_Map (ContactId, ProductLineId, RegionId, IsSales, IsPM, IsUserAdvocate) VALUES ((SELECT ContactId FROM Contact WHERE Name = 'Paul Johnson'), (SELECT ProductLineId FROM ProductLine WHERE Name = 'Completions'), (SELECT RegionID FROM Region WHERE Name = 'Africa'),0,0,1);</v>
      </c>
      <c r="BF40" t="str">
        <f>assignmentSQL('Master Table'!BF40,'Master Table'!BF$1,'Master Table'!$A40,'Master Table'!$B40)</f>
        <v>INSERT INTO Contact_ProductLine_Map (ContactId, ProductLineId, RegionId, IsSales, IsPM, IsUserAdvocate) VALUES ((SELECT ContactId FROM Contact WHERE Name = 'Matt Starke'), (SELECT ProductLineId FROM ProductLine WHERE Name = 'EADOC UI Upgrade'), (SELECT RegionID FROM Region WHERE Name = 'Africa'),0,0,1);</v>
      </c>
      <c r="BG40" t="str">
        <f>assignmentSQL('Master Table'!BG40,'Master Table'!BG$1,'Master Table'!$A40,'Master Table'!$B40)</f>
        <v>INSERT INTO Contact_ProductLine_Map (ContactId, ProductLineId, RegionId, IsSales, IsPM, IsUserAdvocate) VALUES ((SELECT ContactId FROM Contact WHERE Name = 'Arturas Baranauskas'), (SELECT ProductLineId FROM ProductLine WHERE Name = 'Deliverables Management'), (SELECT RegionID FROM Region WHERE Name = 'Africa'),0,0,1);</v>
      </c>
      <c r="BH40" t="str">
        <f>assignmentSQL('Master Table'!BH40,'Master Table'!BH$1,'Master Table'!$A40,'Master Table'!$B40)</f>
        <v>INSERT INTO Contact_ProductLine_Map (ContactId, ProductLineId, RegionId, IsSales, IsPM, IsUserAdvocate) VALUES ((SELECT ContactId FROM Contact WHERE Name = 'Amol Sonawane'), (SELECT ProductLineId FROM ProductLine WHERE Name = 'Bentley Automation Service CONNECT Edition'), (SELECT RegionID FROM Region WHERE Name = 'Africa'),0,0,1);</v>
      </c>
      <c r="BI40" t="str">
        <f>assignmentSQL('Master Table'!BI40,'Master Table'!BI$1,'Master Table'!$A40,'Master Table'!$B40)</f>
        <v>INSERT INTO Contact_ProductLine_Map (ContactId, ProductLineId, RegionId, IsSales, IsPM, IsUserAdvocate) VALUES ((SELECT ContactId FROM Contact WHERE Name = 'Justinas Verbickas'), (SELECT ProductLineId FROM ProductLine WHERE Name = 'ProjectWise "Field Data Management'), (SELECT RegionID FROM Region WHERE Name = 'Africa'),0,0,1);</v>
      </c>
      <c r="BJ40" t="str">
        <f>assignmentSQL('Master Table'!BJ40,'Master Table'!BJ$1,'Master Table'!$A40,'Master Table'!$B40)</f>
        <v>INSERT INTO Contact_ProductLine_Map (ContactId, ProductLineId, RegionId, IsSales, IsPM, IsUserAdvocate) VALUES ((SELECT ContactId FROM Contact WHERE Name = 'Amol Sonawane'), (SELECT ProductLineId FROM ProductLine WHERE Name = 'ProjectWise i-model Composition Server for PDF'), (SELECT RegionID FROM Region WHERE Name = 'Africa'),0,0,1);</v>
      </c>
      <c r="BK40" t="str">
        <f>assignmentSQL('Master Table'!BK40,'Master Table'!BK$1,'Master Table'!$A40,'Master Table'!$B40)</f>
        <v>INSERT INTO Contact_ProductLine_Map (ContactId, ProductLineId, RegionId, IsSales, IsPM, IsUserAdvocate) VALUES ((SELECT ContactId FROM Contact WHERE Name = 'Evert de Jong'), (SELECT ProductLineId FROM ProductLine WHERE Name = 'ProjectWise InterPlot Server and Interplot Organizer'), (SELECT RegionID FROM Region WHERE Name = 'Africa'),0,0,1);</v>
      </c>
      <c r="BL40" t="str">
        <f>assignmentSQL('Master Table'!BL40,'Master Table'!BL$1,'Master Table'!$A40,'Master Table'!$B40)</f>
        <v>INSERT INTO Contact_ProductLine_Map (ContactId, ProductLineId, RegionId, IsSales, IsPM, IsUserAdvocate) VALUES ((SELECT ContactId FROM Contact WHERE Name = 'Evert de Jong'), (SELECT ProductLineId FROM ProductLine WHERE Name = 'ProjectWise i-model Composition Server for i-models'), (SELECT RegionID FROM Region WHERE Name = 'Africa'),0,0,1);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 Table</vt:lpstr>
      <vt:lpstr>North America</vt:lpstr>
      <vt:lpstr>Products</vt:lpstr>
      <vt:lpstr>Region</vt:lpstr>
      <vt:lpstr>Contacts</vt:lpstr>
      <vt:lpstr>Assignment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Queen</dc:creator>
  <cp:lastModifiedBy>admin</cp:lastModifiedBy>
  <dcterms:created xsi:type="dcterms:W3CDTF">2016-08-01T13:15:29Z</dcterms:created>
  <dcterms:modified xsi:type="dcterms:W3CDTF">2016-09-02T13:49:42Z</dcterms:modified>
</cp:coreProperties>
</file>